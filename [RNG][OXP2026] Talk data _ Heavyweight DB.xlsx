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.company" sheetId="1" r:id="rId5"/>
    <sheet state="visible" name="res.partner.category" sheetId="2" r:id="rId6"/>
    <sheet state="visible" name="res.partner" sheetId="3" r:id="rId7"/>
    <sheet state="visible" name="res.users" sheetId="4" r:id="rId8"/>
    <sheet state="visible" name="crm.team" sheetId="5" r:id="rId9"/>
    <sheet state="visible" name="crm.stage" sheetId="6" r:id="rId10"/>
    <sheet state="visible" name="crm.lost.reason" sheetId="7" r:id="rId11"/>
    <sheet state="visible" name="utm.source" sheetId="8" r:id="rId12"/>
    <sheet state="visible" name="utm.medium" sheetId="9" r:id="rId13"/>
    <sheet state="visible" name="utm.campaign" sheetId="10" r:id="rId14"/>
    <sheet state="visible" name="stock.warehouse" sheetId="11" r:id="rId15"/>
    <sheet state="visible" name="stock.location" sheetId="12" r:id="rId16"/>
    <sheet state="visible" name="ir.sequence" sheetId="13" r:id="rId17"/>
    <sheet state="visible" name="stock.picking.type" sheetId="14" r:id="rId18"/>
    <sheet state="visible" name="stock.route" sheetId="15" r:id="rId19"/>
    <sheet state="visible" name="stock.rule" sheetId="16" r:id="rId20"/>
    <sheet state="visible" name="product.category" sheetId="17" r:id="rId21"/>
    <sheet state="visible" name="product.product" sheetId="18" r:id="rId22"/>
    <sheet state="visible" name="product.supplierinfo" sheetId="19" r:id="rId23"/>
    <sheet state="visible" name="mrp.bom" sheetId="20" r:id="rId24"/>
    <sheet state="visible" name="mrp.bom.line" sheetId="21" r:id="rId25"/>
    <sheet state="visible" name="account.analytic.plan" sheetId="22" r:id="rId26"/>
    <sheet state="visible" name="account.analytic.account" sheetId="23" r:id="rId27"/>
    <sheet state="visible" name="account.analytic.distribution.m" sheetId="24" r:id="rId28"/>
    <sheet state="visible" name="budget.analytic" sheetId="25" r:id="rId29"/>
    <sheet state="visible" name="budget.line" sheetId="26" r:id="rId30"/>
    <sheet state="visible" name="ir.actions.server" sheetId="27" r:id="rId31"/>
  </sheets>
  <definedNames/>
  <calcPr/>
</workbook>
</file>

<file path=xl/sharedStrings.xml><?xml version="1.0" encoding="utf-8"?>
<sst xmlns="http://schemas.openxmlformats.org/spreadsheetml/2006/main" count="2454" uniqueCount="1104">
  <si>
    <t>id</t>
  </si>
  <si>
    <t>(no import)</t>
  </si>
  <si>
    <t>name</t>
  </si>
  <si>
    <t>country_id/id</t>
  </si>
  <si>
    <t>tag_1</t>
  </si>
  <si>
    <t>base.main_company</t>
  </si>
  <si>
    <t>Phase 1</t>
  </si>
  <si>
    <t>Wingardium Odoosa</t>
  </si>
  <si>
    <t>base.be</t>
  </si>
  <si>
    <t>tag_2</t>
  </si>
  <si>
    <t>Phase 2</t>
  </si>
  <si>
    <t>login</t>
  </si>
  <si>
    <t>partner_id/id</t>
  </si>
  <si>
    <t>user_mgr_gryff</t>
  </si>
  <si>
    <t>Julien Rousseau</t>
  </si>
  <si>
    <t>or Odoollivanders</t>
  </si>
  <si>
    <t>partner_mgr_gryff</t>
  </si>
  <si>
    <t>user_mgr_huff</t>
  </si>
  <si>
    <t>Hugo Moliteur</t>
  </si>
  <si>
    <t>partner_mgr_huff</t>
  </si>
  <si>
    <t>user_mgr_rav</t>
  </si>
  <si>
    <t>Olivier Ouassini</t>
  </si>
  <si>
    <t>partner_mgr_rav</t>
  </si>
  <si>
    <t>user_mgr_slyth</t>
  </si>
  <si>
    <t>Gabriel Coussement</t>
  </si>
  <si>
    <t>partner_mgr_slyth</t>
  </si>
  <si>
    <t>user_g_1</t>
  </si>
  <si>
    <t>Damien Lucini</t>
  </si>
  <si>
    <t>partner_g_1</t>
  </si>
  <si>
    <t>Gryffindor</t>
  </si>
  <si>
    <t>user_g_2</t>
  </si>
  <si>
    <t>Karim Stampe</t>
  </si>
  <si>
    <t>partner_g_2</t>
  </si>
  <si>
    <t>user_g_3</t>
  </si>
  <si>
    <t>Clement Baivier</t>
  </si>
  <si>
    <t>partner_g_3</t>
  </si>
  <si>
    <t>user_h_1</t>
  </si>
  <si>
    <t>Antoine Hennebert</t>
  </si>
  <si>
    <t>partner_h_1</t>
  </si>
  <si>
    <t>Hufflepuff</t>
  </si>
  <si>
    <t>user_h_2</t>
  </si>
  <si>
    <t>Quentin Domken</t>
  </si>
  <si>
    <t>partner_h_2</t>
  </si>
  <si>
    <t>user_h_3</t>
  </si>
  <si>
    <t>Edoardo Bamba</t>
  </si>
  <si>
    <t>partner_h_3</t>
  </si>
  <si>
    <t>user_r_1</t>
  </si>
  <si>
    <t>Andre Moreau</t>
  </si>
  <si>
    <t>partner_r_1</t>
  </si>
  <si>
    <t>Ravenclaw</t>
  </si>
  <si>
    <t>user_r_2</t>
  </si>
  <si>
    <t>Daphne Pirovano</t>
  </si>
  <si>
    <t>partner_r_2</t>
  </si>
  <si>
    <t>user_r_3</t>
  </si>
  <si>
    <t>Rosalie Dejong</t>
  </si>
  <si>
    <t>partner_r_3</t>
  </si>
  <si>
    <t>user_s_1</t>
  </si>
  <si>
    <t>Noemie Cocina</t>
  </si>
  <si>
    <t>partner_s_1</t>
  </si>
  <si>
    <t>Slytherin</t>
  </si>
  <si>
    <t>user_s_2</t>
  </si>
  <si>
    <t>Marion Thomas</t>
  </si>
  <si>
    <t>partner_s_2</t>
  </si>
  <si>
    <t>user_s_3</t>
  </si>
  <si>
    <t>Test</t>
  </si>
  <si>
    <t>partner_s_3</t>
  </si>
  <si>
    <t>is_company</t>
  </si>
  <si>
    <t>street</t>
  </si>
  <si>
    <t>city</t>
  </si>
  <si>
    <t>supplier_rank</t>
  </si>
  <si>
    <t>customer_rank</t>
  </si>
  <si>
    <t>category_id/id</t>
  </si>
  <si>
    <t>user_id/id</t>
  </si>
  <si>
    <t>member_ids/id</t>
  </si>
  <si>
    <t>use_leads</t>
  </si>
  <si>
    <t>use_opportunities</t>
  </si>
  <si>
    <t>team_gryffindor</t>
  </si>
  <si>
    <t>team_hufflepuff</t>
  </si>
  <si>
    <t>team_ravenclaw</t>
  </si>
  <si>
    <t>team_slytherin</t>
  </si>
  <si>
    <t>supp_01</t>
  </si>
  <si>
    <t>Ollivanders Wholesale</t>
  </si>
  <si>
    <t>Diagon Alley</t>
  </si>
  <si>
    <t>London</t>
  </si>
  <si>
    <t>base.uk</t>
  </si>
  <si>
    <t>supp_02</t>
  </si>
  <si>
    <t>Slug &amp; Jiggers Apothecary</t>
  </si>
  <si>
    <t>supp_03</t>
  </si>
  <si>
    <t>Borgin and Burkes</t>
  </si>
  <si>
    <t>Knockturn Alley</t>
  </si>
  <si>
    <t>supp_04</t>
  </si>
  <si>
    <t>Magical Menagerie</t>
  </si>
  <si>
    <t>sequence</t>
  </si>
  <si>
    <t>bi_loss_price</t>
  </si>
  <si>
    <t>is_won</t>
  </si>
  <si>
    <t>supp_05</t>
  </si>
  <si>
    <t>Eeylops Owl Emporium</t>
  </si>
  <si>
    <t>bi_crm_new</t>
  </si>
  <si>
    <t>Price</t>
  </si>
  <si>
    <t>New</t>
  </si>
  <si>
    <t>supp_06</t>
  </si>
  <si>
    <t>Quality Quidditch Supplies</t>
  </si>
  <si>
    <t>bi_loss_timing</t>
  </si>
  <si>
    <t>supp_07</t>
  </si>
  <si>
    <t>Madam Malkin's Robes</t>
  </si>
  <si>
    <t>bi_crm_qualified</t>
  </si>
  <si>
    <t>Timing</t>
  </si>
  <si>
    <t>supp_08</t>
  </si>
  <si>
    <t>Flourish and Blotts</t>
  </si>
  <si>
    <t>Qualified</t>
  </si>
  <si>
    <t>bi_loss_competitor</t>
  </si>
  <si>
    <t>supp_09</t>
  </si>
  <si>
    <t>Knockturn Imports</t>
  </si>
  <si>
    <t>Competitor</t>
  </si>
  <si>
    <t>supp_10</t>
  </si>
  <si>
    <t>Gringotts Financial Services</t>
  </si>
  <si>
    <t>bi_loss_no_need</t>
  </si>
  <si>
    <t>bi_crm_proposal</t>
  </si>
  <si>
    <t>supp_11</t>
  </si>
  <si>
    <t>Wands of Gregorovitch</t>
  </si>
  <si>
    <t>Proposal</t>
  </si>
  <si>
    <t>Dark Arts District</t>
  </si>
  <si>
    <t>No purchasing need</t>
  </si>
  <si>
    <t>Sofia</t>
  </si>
  <si>
    <t>base.bg</t>
  </si>
  <si>
    <t>bi_crm_negotiation</t>
  </si>
  <si>
    <t>Negotiation</t>
  </si>
  <si>
    <t>bi_crm_won</t>
  </si>
  <si>
    <t>supp_12</t>
  </si>
  <si>
    <t>Broomstix Ltd.</t>
  </si>
  <si>
    <t>Won</t>
  </si>
  <si>
    <t>Broadway</t>
  </si>
  <si>
    <t>New York</t>
  </si>
  <si>
    <t>base.us</t>
  </si>
  <si>
    <t>supp_13</t>
  </si>
  <si>
    <t>Ilvermorny Supply Co.</t>
  </si>
  <si>
    <t>Mount Greylock</t>
  </si>
  <si>
    <t>Boston</t>
  </si>
  <si>
    <t>supp_14</t>
  </si>
  <si>
    <t>MACUSA Procurement</t>
  </si>
  <si>
    <t>Woolworth Building</t>
  </si>
  <si>
    <t>supp_15</t>
  </si>
  <si>
    <t>Beauxbatons Bakery</t>
  </si>
  <si>
    <t>Pyrenees</t>
  </si>
  <si>
    <t>Toulouse</t>
  </si>
  <si>
    <t>base.fr</t>
  </si>
  <si>
    <t>supp_16</t>
  </si>
  <si>
    <t>Durmstrang Dark Arts Ltd.</t>
  </si>
  <si>
    <t>High Mountains</t>
  </si>
  <si>
    <t>supp_17</t>
  </si>
  <si>
    <t>Mahoutokoro Silk Co.</t>
  </si>
  <si>
    <t>Minami Iwo Jima</t>
  </si>
  <si>
    <t>Tokyo</t>
  </si>
  <si>
    <t>base.jp</t>
  </si>
  <si>
    <t>supp_18</t>
  </si>
  <si>
    <t>Uagadou Transfiguration Supplies</t>
  </si>
  <si>
    <t>bi_source_prophet</t>
  </si>
  <si>
    <t>Mountains of the Moon</t>
  </si>
  <si>
    <t>Kampala</t>
  </si>
  <si>
    <t>base.ug</t>
  </si>
  <si>
    <t>Daily Prophet / Gazette du Sorcier</t>
  </si>
  <si>
    <t>supp_19</t>
  </si>
  <si>
    <t>Castelobruxo Herbology</t>
  </si>
  <si>
    <t>Amazon Rainforest</t>
  </si>
  <si>
    <t>Manaus</t>
  </si>
  <si>
    <t>base.br</t>
  </si>
  <si>
    <t>bi_source_owl</t>
  </si>
  <si>
    <t>supp_20</t>
  </si>
  <si>
    <t>Owl Post / Courrier hibou</t>
  </si>
  <si>
    <t>Koldovstoretz Potions</t>
  </si>
  <si>
    <t>Lake Ladoga</t>
  </si>
  <si>
    <t>St. Petersburg</t>
  </si>
  <si>
    <t>base.ru</t>
  </si>
  <si>
    <t>bi_source_referral</t>
  </si>
  <si>
    <t>Customer referral</t>
  </si>
  <si>
    <t>supp_21</t>
  </si>
  <si>
    <t>bi_source_web</t>
  </si>
  <si>
    <t>Spindle's Cauldrons</t>
  </si>
  <si>
    <t>Online shop</t>
  </si>
  <si>
    <t>supp_22</t>
  </si>
  <si>
    <t>Scrivenshaft's Quill Shop</t>
  </si>
  <si>
    <t>High Street</t>
  </si>
  <si>
    <t>Hogsmeade</t>
  </si>
  <si>
    <t>supp_23</t>
  </si>
  <si>
    <t>Gladrags Wizardwear</t>
  </si>
  <si>
    <t>supp_24</t>
  </si>
  <si>
    <t>Honeydukes Sweetmakers</t>
  </si>
  <si>
    <t>supp_25</t>
  </si>
  <si>
    <t>Zonko's Joke Shop</t>
  </si>
  <si>
    <t>cust_c01</t>
  </si>
  <si>
    <t>The Leaky Cauldron</t>
  </si>
  <si>
    <t>Charing Cross Rd</t>
  </si>
  <si>
    <t>cust_c02</t>
  </si>
  <si>
    <t>Three Broomsticks</t>
  </si>
  <si>
    <t>bi_medium_print</t>
  </si>
  <si>
    <t>cust_c03</t>
  </si>
  <si>
    <t>Hogwarts School</t>
  </si>
  <si>
    <t>Highlands</t>
  </si>
  <si>
    <t>Edinburgh</t>
  </si>
  <si>
    <t>Print</t>
  </si>
  <si>
    <t>cust_c04</t>
  </si>
  <si>
    <t>Ministry of Magic UK</t>
  </si>
  <si>
    <t>bi_medium_email</t>
  </si>
  <si>
    <t>Whitehall</t>
  </si>
  <si>
    <t>Email</t>
  </si>
  <si>
    <t>bi_medium_referral</t>
  </si>
  <si>
    <t>cust_c05</t>
  </si>
  <si>
    <t>St Mungo's Hospital</t>
  </si>
  <si>
    <t>Referral</t>
  </si>
  <si>
    <t>Purge &amp; Dowse Ltd</t>
  </si>
  <si>
    <t>bi_medium_web</t>
  </si>
  <si>
    <t>Web</t>
  </si>
  <si>
    <t>cust_c06</t>
  </si>
  <si>
    <t>The Daily Prophet</t>
  </si>
  <si>
    <t>cust_c07</t>
  </si>
  <si>
    <t>The Quibbler</t>
  </si>
  <si>
    <t>Ottery St Catchpole</t>
  </si>
  <si>
    <t>Devon</t>
  </si>
  <si>
    <t>cust_c08</t>
  </si>
  <si>
    <t>Weasleys' Wizard Wheezes</t>
  </si>
  <si>
    <t>cust_c09</t>
  </si>
  <si>
    <t>Magical Congress USA (MACUSA)</t>
  </si>
  <si>
    <t>bi_campaign_school</t>
  </si>
  <si>
    <t>cust_c10</t>
  </si>
  <si>
    <t>Salem Witches Institute</t>
  </si>
  <si>
    <t>Essex St</t>
  </si>
  <si>
    <t>Salem</t>
  </si>
  <si>
    <t>Back to Hogwarts / Rentree scolaire</t>
  </si>
  <si>
    <t>cust_c11</t>
  </si>
  <si>
    <t>Obscurus Books</t>
  </si>
  <si>
    <t>bi_campaign_frogs</t>
  </si>
  <si>
    <t>Chocogrenouilles 2020 special campaign</t>
  </si>
  <si>
    <t>cust_c12</t>
  </si>
  <si>
    <t>WhizzHard Books</t>
  </si>
  <si>
    <t>cust_c13</t>
  </si>
  <si>
    <t>TerrorTours</t>
  </si>
  <si>
    <t>cust_c14</t>
  </si>
  <si>
    <t>Twilfitt and Tatting's</t>
  </si>
  <si>
    <t>cust_c15</t>
  </si>
  <si>
    <t>Gambol and Japes</t>
  </si>
  <si>
    <t>cust_c16</t>
  </si>
  <si>
    <t>Amanuensis Quills</t>
  </si>
  <si>
    <t>cust_c17</t>
  </si>
  <si>
    <t>Broom Club NY</t>
  </si>
  <si>
    <t>cust_c18</t>
  </si>
  <si>
    <t>Parisian Potions</t>
  </si>
  <si>
    <t>Rue de la Paix</t>
  </si>
  <si>
    <t>Paris</t>
  </si>
  <si>
    <t>cust_c19</t>
  </si>
  <si>
    <t>Chateau Magic</t>
  </si>
  <si>
    <t>Montmartre</t>
  </si>
  <si>
    <t>cust_c20</t>
  </si>
  <si>
    <t>French Ministry of Magic</t>
  </si>
  <si>
    <t>Place Cachée</t>
  </si>
  <si>
    <t>cust_c21</t>
  </si>
  <si>
    <t>Tokyo Wands Ltd</t>
  </si>
  <si>
    <t>Shibuya</t>
  </si>
  <si>
    <t>cust_c22</t>
  </si>
  <si>
    <t>Kyoto Charms</t>
  </si>
  <si>
    <t>Gion</t>
  </si>
  <si>
    <t>Kyoto</t>
  </si>
  <si>
    <t>cust_c23</t>
  </si>
  <si>
    <t>Japanese Ministry of Magic</t>
  </si>
  <si>
    <t>Minato</t>
  </si>
  <si>
    <t>cust_c24</t>
  </si>
  <si>
    <t>Rio Herbology Co</t>
  </si>
  <si>
    <t>Copacabana</t>
  </si>
  <si>
    <t>Rio de Janeiro</t>
  </si>
  <si>
    <t>cust_c25</t>
  </si>
  <si>
    <t>Amazonian Artefacts</t>
  </si>
  <si>
    <t>Centro</t>
  </si>
  <si>
    <t>code</t>
  </si>
  <si>
    <t>company_id/id</t>
  </si>
  <si>
    <t>reception_steps</t>
  </si>
  <si>
    <t>cust_c26</t>
  </si>
  <si>
    <t>delivery_steps</t>
  </si>
  <si>
    <t>Brazilian Ministry of Magic</t>
  </si>
  <si>
    <t>stock.warehouse0</t>
  </si>
  <si>
    <t>Belgium Hub</t>
  </si>
  <si>
    <t>BE</t>
  </si>
  <si>
    <t>Brasilia</t>
  </si>
  <si>
    <t>bi_wh_address_be</t>
  </si>
  <si>
    <t>one_step</t>
  </si>
  <si>
    <t>ship_only</t>
  </si>
  <si>
    <t>bi_wh_uk</t>
  </si>
  <si>
    <t>UK Distribution</t>
  </si>
  <si>
    <t>UK</t>
  </si>
  <si>
    <t>bi_wh_address_uk</t>
  </si>
  <si>
    <t>bi_wh_us</t>
  </si>
  <si>
    <t>US Distribution</t>
  </si>
  <si>
    <t>cust_c27</t>
  </si>
  <si>
    <t>US</t>
  </si>
  <si>
    <t>Shanghai Silk Robes</t>
  </si>
  <si>
    <t>bi_wh_address_us</t>
  </si>
  <si>
    <t>Nanjing Road</t>
  </si>
  <si>
    <t>bi_wh_sg</t>
  </si>
  <si>
    <t>Singapore Distribution</t>
  </si>
  <si>
    <t>Shanghai</t>
  </si>
  <si>
    <t>SG</t>
  </si>
  <si>
    <t>base.cn</t>
  </si>
  <si>
    <t>bi_wh_address_sg</t>
  </si>
  <si>
    <t>cust_c28</t>
  </si>
  <si>
    <t>Beijing Broomworks</t>
  </si>
  <si>
    <t>Chaoyang</t>
  </si>
  <si>
    <t>Beijing</t>
  </si>
  <si>
    <t>cust_c29</t>
  </si>
  <si>
    <t>Mumbai Mystics</t>
  </si>
  <si>
    <t>Colaba</t>
  </si>
  <si>
    <t>Mumbai</t>
  </si>
  <si>
    <t>base.in</t>
  </si>
  <si>
    <t>cust_c30</t>
  </si>
  <si>
    <t>Delhi Dark Arts Defense</t>
  </si>
  <si>
    <t>Connaught Place</t>
  </si>
  <si>
    <t>New Delhi</t>
  </si>
  <si>
    <t>usage</t>
  </si>
  <si>
    <t>cust_c31</t>
  </si>
  <si>
    <t>Berlin Brews</t>
  </si>
  <si>
    <t>Mitte</t>
  </si>
  <si>
    <t>Berlin</t>
  </si>
  <si>
    <t>base.de</t>
  </si>
  <si>
    <t>location_id/id</t>
  </si>
  <si>
    <t>bi_transit_root</t>
  </si>
  <si>
    <t>cust_c32</t>
  </si>
  <si>
    <t>Frankfurt Flying Carpets</t>
  </si>
  <si>
    <t>Altstadt</t>
  </si>
  <si>
    <t>Frankfurt</t>
  </si>
  <si>
    <t>BI Interwarehouse Transit</t>
  </si>
  <si>
    <t>cust_c33</t>
  </si>
  <si>
    <t>view</t>
  </si>
  <si>
    <t>German Ministry of Magic</t>
  </si>
  <si>
    <t>Kreuzberg</t>
  </si>
  <si>
    <t>cust_c34</t>
  </si>
  <si>
    <t>Bulgarian Quidditch Team</t>
  </si>
  <si>
    <t>prefix</t>
  </si>
  <si>
    <t>Vasil Levski</t>
  </si>
  <si>
    <t>bi_transit_be</t>
  </si>
  <si>
    <t>padding</t>
  </si>
  <si>
    <t>number_increment</t>
  </si>
  <si>
    <t>cust_c35</t>
  </si>
  <si>
    <t>Transit to BE</t>
  </si>
  <si>
    <t>Sofia Spells Inc.</t>
  </si>
  <si>
    <t>implementation</t>
  </si>
  <si>
    <t>Vitosha</t>
  </si>
  <si>
    <t>transit</t>
  </si>
  <si>
    <t>cust_c36</t>
  </si>
  <si>
    <t>Canadian Charms Co.</t>
  </si>
  <si>
    <t>bi_sequence_bi_uk_dispatch</t>
  </si>
  <si>
    <t>Downtown</t>
  </si>
  <si>
    <t>Toronto</t>
  </si>
  <si>
    <t>base.ca</t>
  </si>
  <si>
    <t>BI UK dispatch</t>
  </si>
  <si>
    <t>bi.bi_uk_dispatch</t>
  </si>
  <si>
    <t>bi_transit_uk</t>
  </si>
  <si>
    <t>BIUKD/</t>
  </si>
  <si>
    <t>Transit to UK</t>
  </si>
  <si>
    <t>cust_c37</t>
  </si>
  <si>
    <t>Vancouver Vials</t>
  </si>
  <si>
    <t>Gastown</t>
  </si>
  <si>
    <t>Vancouver</t>
  </si>
  <si>
    <t>cust_c38</t>
  </si>
  <si>
    <t>Sydney Sorcery</t>
  </si>
  <si>
    <t>The Rocks</t>
  </si>
  <si>
    <t>standard</t>
  </si>
  <si>
    <t>Sydney</t>
  </si>
  <si>
    <t>base.au</t>
  </si>
  <si>
    <t>bi_transit_us</t>
  </si>
  <si>
    <t>bi_sequence_bi_uk_receipt</t>
  </si>
  <si>
    <t>Transit to US</t>
  </si>
  <si>
    <t>BI UK receipt</t>
  </si>
  <si>
    <t>cust_c39</t>
  </si>
  <si>
    <t>Melbourne Magic Supplies</t>
  </si>
  <si>
    <t>CBD</t>
  </si>
  <si>
    <t>Melbourne</t>
  </si>
  <si>
    <t>bi.bi_uk_receipt</t>
  </si>
  <si>
    <t>BIUKR/</t>
  </si>
  <si>
    <t>bi_transit_sg</t>
  </si>
  <si>
    <t>cust_c40</t>
  </si>
  <si>
    <t>Cape Town Cauldrons</t>
  </si>
  <si>
    <t>Transit to SG</t>
  </si>
  <si>
    <t>Waterfront</t>
  </si>
  <si>
    <t>Cape Town</t>
  </si>
  <si>
    <t>base.za</t>
  </si>
  <si>
    <t>bi_sequence_bi_us_dispatch</t>
  </si>
  <si>
    <t>BI US dispatch</t>
  </si>
  <si>
    <t>cust_c41</t>
  </si>
  <si>
    <t>bi.bi_us_dispatch</t>
  </si>
  <si>
    <t>Nile Necromancy</t>
  </si>
  <si>
    <t>Zamalek</t>
  </si>
  <si>
    <t>Cairo</t>
  </si>
  <si>
    <t>BIUSD/</t>
  </si>
  <si>
    <t>base.eg</t>
  </si>
  <si>
    <t>cust_c42</t>
  </si>
  <si>
    <t>Cairo Curses Ltd</t>
  </si>
  <si>
    <t>Tahrir</t>
  </si>
  <si>
    <t>bi_sequence_bi_us_receipt</t>
  </si>
  <si>
    <t>cust_c43</t>
  </si>
  <si>
    <t>Argentine Artefacts</t>
  </si>
  <si>
    <t>Palermo</t>
  </si>
  <si>
    <t>Buenos Aires</t>
  </si>
  <si>
    <t>BI US receipt</t>
  </si>
  <si>
    <t>base.ar</t>
  </si>
  <si>
    <t>bi.bi_us_receipt</t>
  </si>
  <si>
    <t>BIUSR/</t>
  </si>
  <si>
    <t>cust_c44</t>
  </si>
  <si>
    <t>Lima Levitation</t>
  </si>
  <si>
    <t>Miraflores</t>
  </si>
  <si>
    <t>Lima</t>
  </si>
  <si>
    <t>base.pe</t>
  </si>
  <si>
    <t>bi_sequence_bi_sg_dispatch</t>
  </si>
  <si>
    <t>cust_c45</t>
  </si>
  <si>
    <t>Mexican Magic Emporium</t>
  </si>
  <si>
    <t>BI SG dispatch</t>
  </si>
  <si>
    <t>Polanco</t>
  </si>
  <si>
    <t>Mexico City</t>
  </si>
  <si>
    <t>base.mx</t>
  </si>
  <si>
    <t>bi.bi_sg_dispatch</t>
  </si>
  <si>
    <t>BISGD/</t>
  </si>
  <si>
    <t>cust_c46</t>
  </si>
  <si>
    <t>Seoul Spellbooks</t>
  </si>
  <si>
    <t>Gangnam</t>
  </si>
  <si>
    <t>Seoul</t>
  </si>
  <si>
    <t>base.kr</t>
  </si>
  <si>
    <t>bi_sequence_bi_sg_receipt</t>
  </si>
  <si>
    <t>warehouse_id/id</t>
  </si>
  <si>
    <t>BI SG receipt</t>
  </si>
  <si>
    <t>default_location_src_id</t>
  </si>
  <si>
    <t>default_location_dest_id</t>
  </si>
  <si>
    <t>bi.bi_sg_receipt</t>
  </si>
  <si>
    <t>cust_c47</t>
  </si>
  <si>
    <t>Bangkok Broomsticks</t>
  </si>
  <si>
    <t>BISGR/</t>
  </si>
  <si>
    <t>Sukhumvit</t>
  </si>
  <si>
    <t>Bangkok</t>
  </si>
  <si>
    <t>base.th</t>
  </si>
  <si>
    <t>sequence_id/id</t>
  </si>
  <si>
    <t>reservation_method</t>
  </si>
  <si>
    <t>create_backorder</t>
  </si>
  <si>
    <t>move_type</t>
  </si>
  <si>
    <t>bi_uk_dispatch</t>
  </si>
  <si>
    <t>cust_c48</t>
  </si>
  <si>
    <t>Singapore Sorcery</t>
  </si>
  <si>
    <t>Orchard Road</t>
  </si>
  <si>
    <t>Singapore</t>
  </si>
  <si>
    <t>bi_sequence_bi_be_delivery</t>
  </si>
  <si>
    <t>base.sg</t>
  </si>
  <si>
    <t>internal</t>
  </si>
  <si>
    <t>BI BE Customer Delivery</t>
  </si>
  <si>
    <t>bi.bi_be_delivery</t>
  </si>
  <si>
    <t>BE/Stock</t>
  </si>
  <si>
    <t>BI_BE_DELIVERY/</t>
  </si>
  <si>
    <t>BI Interwarehouse Transit/Transit to UK</t>
  </si>
  <si>
    <t>at_confirm</t>
  </si>
  <si>
    <t>cust_c49</t>
  </si>
  <si>
    <t>Jakarta Jinxes</t>
  </si>
  <si>
    <t>Kemang</t>
  </si>
  <si>
    <t>ask</t>
  </si>
  <si>
    <t>Jakarta</t>
  </si>
  <si>
    <t>base.id</t>
  </si>
  <si>
    <t>one</t>
  </si>
  <si>
    <t>bi_uk_receipt</t>
  </si>
  <si>
    <t>cust_c50</t>
  </si>
  <si>
    <t>Nordic Necromancy</t>
  </si>
  <si>
    <t>Norrmalm</t>
  </si>
  <si>
    <t>bi_sequence_bi_uk_delivery</t>
  </si>
  <si>
    <t>Stockholm</t>
  </si>
  <si>
    <t>base.se</t>
  </si>
  <si>
    <t>UK/Stock</t>
  </si>
  <si>
    <t>BI UK Customer Delivery</t>
  </si>
  <si>
    <t>bi.bi_uk_delivery</t>
  </si>
  <si>
    <t>cust_c51</t>
  </si>
  <si>
    <t>Oslo Owl Emporium</t>
  </si>
  <si>
    <t>BI_UK_DELIVERY/</t>
  </si>
  <si>
    <t>Sentrum</t>
  </si>
  <si>
    <t>Oslo</t>
  </si>
  <si>
    <t>base.no</t>
  </si>
  <si>
    <t>bi_us_dispatch</t>
  </si>
  <si>
    <t>cust_c52</t>
  </si>
  <si>
    <t>Copenhagen Charms</t>
  </si>
  <si>
    <t>Nyhavn</t>
  </si>
  <si>
    <t>Copenhagen</t>
  </si>
  <si>
    <t>base.dk</t>
  </si>
  <si>
    <t>BI Interwarehouse Transit/Transit to US</t>
  </si>
  <si>
    <t>bi_sequence_bi_us_delivery</t>
  </si>
  <si>
    <t>BI US Customer Delivery</t>
  </si>
  <si>
    <t>cust_c53</t>
  </si>
  <si>
    <t>bi.bi_us_delivery</t>
  </si>
  <si>
    <t>Helsinki Hexes</t>
  </si>
  <si>
    <t>bi_us_receipt</t>
  </si>
  <si>
    <t>Kamppi</t>
  </si>
  <si>
    <t>Helsinki</t>
  </si>
  <si>
    <t>base.fi</t>
  </si>
  <si>
    <t>BI_US_DELIVERY/</t>
  </si>
  <si>
    <t>US/Stock</t>
  </si>
  <si>
    <t>cust_c54</t>
  </si>
  <si>
    <t>Rome Runes</t>
  </si>
  <si>
    <t>Trastevere</t>
  </si>
  <si>
    <t>Rome</t>
  </si>
  <si>
    <t>base.it</t>
  </si>
  <si>
    <t>bi_sequence_bi_sg_delivery</t>
  </si>
  <si>
    <t>bi_sg_dispatch</t>
  </si>
  <si>
    <t>BI SG Customer Delivery</t>
  </si>
  <si>
    <t>bi.bi_sg_delivery</t>
  </si>
  <si>
    <t>cust_c55</t>
  </si>
  <si>
    <t>Venice Vials</t>
  </si>
  <si>
    <t>BI_SG_DELIVERY/</t>
  </si>
  <si>
    <t>San Marco</t>
  </si>
  <si>
    <t>Venice</t>
  </si>
  <si>
    <t>BI Interwarehouse Transit/Transit to SG</t>
  </si>
  <si>
    <t>cust_c56</t>
  </si>
  <si>
    <t>Madrid Magic Co</t>
  </si>
  <si>
    <t>Salamanca</t>
  </si>
  <si>
    <t>Madrid</t>
  </si>
  <si>
    <t>base.es</t>
  </si>
  <si>
    <t>bi_sequence_bi_be_buy</t>
  </si>
  <si>
    <t>bi_sg_receipt</t>
  </si>
  <si>
    <t>BI BE Supplier Receipt</t>
  </si>
  <si>
    <t>bi.bi_be_buy</t>
  </si>
  <si>
    <t>cust_c57</t>
  </si>
  <si>
    <t>Barcelona Broomworks</t>
  </si>
  <si>
    <t>BI_BE_BUY/</t>
  </si>
  <si>
    <t>Eixample</t>
  </si>
  <si>
    <t>Barcelona</t>
  </si>
  <si>
    <t>SG/Stock</t>
  </si>
  <si>
    <t>cust_c58</t>
  </si>
  <si>
    <t>Lisbon Levitation</t>
  </si>
  <si>
    <t>Alfama</t>
  </si>
  <si>
    <t>Lisbon</t>
  </si>
  <si>
    <t>base.pt</t>
  </si>
  <si>
    <t>bi_sequence_bi_be_manufacture</t>
  </si>
  <si>
    <t>bi_be_delivery</t>
  </si>
  <si>
    <t>BI BE Manufacturing</t>
  </si>
  <si>
    <t>cust_c59</t>
  </si>
  <si>
    <t>Athens Artefacts</t>
  </si>
  <si>
    <t>Plaka</t>
  </si>
  <si>
    <t>Athens</t>
  </si>
  <si>
    <t>outgoing</t>
  </si>
  <si>
    <t>base.gr</t>
  </si>
  <si>
    <t>bi.bi_be_manufacture</t>
  </si>
  <si>
    <t>BI_BE_MANUFACTURE/</t>
  </si>
  <si>
    <t>Partner Locations/Customers</t>
  </si>
  <si>
    <t>cust_c60</t>
  </si>
  <si>
    <t>Istanbul Incantations</t>
  </si>
  <si>
    <t>Beyoglu</t>
  </si>
  <si>
    <t>Istanbul</t>
  </si>
  <si>
    <t>base.tr</t>
  </si>
  <si>
    <t>bi_uk_delivery</t>
  </si>
  <si>
    <t>cust_i01</t>
  </si>
  <si>
    <t>Arthur Weasley</t>
  </si>
  <si>
    <t>The Burrow</t>
  </si>
  <si>
    <t>cust_i02</t>
  </si>
  <si>
    <t>Molly Weasley</t>
  </si>
  <si>
    <t>cust_i03</t>
  </si>
  <si>
    <t>Sirius Black</t>
  </si>
  <si>
    <t>product_selectable</t>
  </si>
  <si>
    <t>12 Grimmauld Place</t>
  </si>
  <si>
    <t>cust_i04</t>
  </si>
  <si>
    <t>Remus Lupin</t>
  </si>
  <si>
    <t>bi_route_uk</t>
  </si>
  <si>
    <t>Yorkshire Dales</t>
  </si>
  <si>
    <t>Leeds</t>
  </si>
  <si>
    <t>BI Belgium to UK via transit</t>
  </si>
  <si>
    <t>bi_us_delivery</t>
  </si>
  <si>
    <t>cust_i05</t>
  </si>
  <si>
    <t>Albus Dumbledore</t>
  </si>
  <si>
    <t>Hogwarts Castle</t>
  </si>
  <si>
    <t>cust_i06</t>
  </si>
  <si>
    <t>Rubeus Hagrid</t>
  </si>
  <si>
    <t>Hagrid's Hut</t>
  </si>
  <si>
    <t>bi_route_us</t>
  </si>
  <si>
    <t>cust_i07</t>
  </si>
  <si>
    <t>Bellatrix Lestrange</t>
  </si>
  <si>
    <t>Malfoy Manor</t>
  </si>
  <si>
    <t>BI Belgium to US via transit</t>
  </si>
  <si>
    <t>Wiltshire</t>
  </si>
  <si>
    <t>cust_i08</t>
  </si>
  <si>
    <t>Narcissa Malfoy</t>
  </si>
  <si>
    <t>bi_sg_delivery</t>
  </si>
  <si>
    <t>cust_i09</t>
  </si>
  <si>
    <t>Lucius Malfoy</t>
  </si>
  <si>
    <t>bi_route_sg</t>
  </si>
  <si>
    <t>BI Belgium to SG via transit</t>
  </si>
  <si>
    <t>cust_i10</t>
  </si>
  <si>
    <t>Kingsley Shacklebolt</t>
  </si>
  <si>
    <t>Ministry HQ</t>
  </si>
  <si>
    <t>bi_route_buy</t>
  </si>
  <si>
    <t>cust_i11</t>
  </si>
  <si>
    <t>Alastor Moody</t>
  </si>
  <si>
    <t>BI Buy into Belgium</t>
  </si>
  <si>
    <t>Secret Location</t>
  </si>
  <si>
    <t>cust_i12</t>
  </si>
  <si>
    <t>Rolanda Hooch</t>
  </si>
  <si>
    <t>bi_be_buy</t>
  </si>
  <si>
    <t>incoming</t>
  </si>
  <si>
    <t>cust_i13</t>
  </si>
  <si>
    <t>Sybill Trelawney</t>
  </si>
  <si>
    <t>North Tower</t>
  </si>
  <si>
    <t>bi_route_manufacture</t>
  </si>
  <si>
    <t>cust_i14</t>
  </si>
  <si>
    <t>Partner Locations/Vendors</t>
  </si>
  <si>
    <t>BI Manufacture in Belgium</t>
  </si>
  <si>
    <t>Poppy Pomfrey</t>
  </si>
  <si>
    <t>Hospital Wing</t>
  </si>
  <si>
    <t>cust_i15</t>
  </si>
  <si>
    <t>bi_route_delivery</t>
  </si>
  <si>
    <t>Cuthbert Binns</t>
  </si>
  <si>
    <t>BI Demand Driven Customer Delivery</t>
  </si>
  <si>
    <t>History Room</t>
  </si>
  <si>
    <t>bi_be_manufacture</t>
  </si>
  <si>
    <t>cust_i16</t>
  </si>
  <si>
    <t>Charity Burbage</t>
  </si>
  <si>
    <t>mrp_operation</t>
  </si>
  <si>
    <t>Muggle Studies</t>
  </si>
  <si>
    <t>cust_i17</t>
  </si>
  <si>
    <t>Septima Vector</t>
  </si>
  <si>
    <t>Arithmancy Tower</t>
  </si>
  <si>
    <t>cust_i18</t>
  </si>
  <si>
    <t>Aurora Sinistra</t>
  </si>
  <si>
    <t>Astronomy Tower</t>
  </si>
  <si>
    <t>cust_i19</t>
  </si>
  <si>
    <t>Silvanus Kettleburn</t>
  </si>
  <si>
    <t>Care of Magical Creatures</t>
  </si>
  <si>
    <t>cust_i20</t>
  </si>
  <si>
    <t>Wilhelmina Grubbly-Plank</t>
  </si>
  <si>
    <t>Substitute Offices</t>
  </si>
  <si>
    <t>cust_i21</t>
  </si>
  <si>
    <t>Horace Slughorn</t>
  </si>
  <si>
    <t>Various Muggle Houses</t>
  </si>
  <si>
    <t>cust_i22</t>
  </si>
  <si>
    <t>Gilderoy Lockhart</t>
  </si>
  <si>
    <t>Janus Thickey Ward</t>
  </si>
  <si>
    <t>cust_i23</t>
  </si>
  <si>
    <t>Quirinus Quirrell</t>
  </si>
  <si>
    <t>Albanian Forests</t>
  </si>
  <si>
    <t>Tirana</t>
  </si>
  <si>
    <t>base.al</t>
  </si>
  <si>
    <t>cust_i24</t>
  </si>
  <si>
    <t>Gellert Grindelwald</t>
  </si>
  <si>
    <t>Nurmengard</t>
  </si>
  <si>
    <t>Alps</t>
  </si>
  <si>
    <t>base.at</t>
  </si>
  <si>
    <t>cust_i25</t>
  </si>
  <si>
    <t>Theseus Scamander</t>
  </si>
  <si>
    <t>cust_i26</t>
  </si>
  <si>
    <t>Leta Lestrange</t>
  </si>
  <si>
    <t>London Estate</t>
  </si>
  <si>
    <t>cust_i27</t>
  </si>
  <si>
    <t>Porpentina Goldstein</t>
  </si>
  <si>
    <t>MACUSA Apt</t>
  </si>
  <si>
    <t>cust_i28</t>
  </si>
  <si>
    <t>Queenie Goldstein</t>
  </si>
  <si>
    <t>cust_i29</t>
  </si>
  <si>
    <t>Jacob Kowalski</t>
  </si>
  <si>
    <t>Kowalski Bakery</t>
  </si>
  <si>
    <t>cust_i30</t>
  </si>
  <si>
    <t>Credence Barebone</t>
  </si>
  <si>
    <t>Second Salem Church</t>
  </si>
  <si>
    <t>cust_i31</t>
  </si>
  <si>
    <t>Seraphina Picquery</t>
  </si>
  <si>
    <t>MACUSA HQ</t>
  </si>
  <si>
    <t>cust_i32</t>
  </si>
  <si>
    <t>Percival Graves</t>
  </si>
  <si>
    <t>cust_i33</t>
  </si>
  <si>
    <t>Vinda Rosier</t>
  </si>
  <si>
    <t>Paris Safehouse</t>
  </si>
  <si>
    <t>cust_i34</t>
  </si>
  <si>
    <t>Yusuf Kama</t>
  </si>
  <si>
    <t>Paris Sewers</t>
  </si>
  <si>
    <t>cust_i35</t>
  </si>
  <si>
    <t>Nicolas Flamel</t>
  </si>
  <si>
    <t>Rue Montmorency</t>
  </si>
  <si>
    <t>cust_i36</t>
  </si>
  <si>
    <t>Perenelle Flamel</t>
  </si>
  <si>
    <t>cust_i37</t>
  </si>
  <si>
    <t>Garrick Ollivander</t>
  </si>
  <si>
    <t>cust_i38</t>
  </si>
  <si>
    <t>Mykew Gregorovitch</t>
  </si>
  <si>
    <t>Wand Shop</t>
  </si>
  <si>
    <t>cust_i39</t>
  </si>
  <si>
    <t>Olympe Maxime</t>
  </si>
  <si>
    <t>Beauxbatons Academy</t>
  </si>
  <si>
    <t>cust_i40</t>
  </si>
  <si>
    <t>Igor Karkaroff</t>
  </si>
  <si>
    <t>Durmstrang Institute</t>
  </si>
  <si>
    <t>cust_i41</t>
  </si>
  <si>
    <t>Viktor Krum</t>
  </si>
  <si>
    <t>National Stadium</t>
  </si>
  <si>
    <t>cust_i42</t>
  </si>
  <si>
    <t>Fleur Delacour</t>
  </si>
  <si>
    <t>Shell Cottage</t>
  </si>
  <si>
    <t>Cornwall</t>
  </si>
  <si>
    <t>cust_i43</t>
  </si>
  <si>
    <t>Gabrielle Delacour</t>
  </si>
  <si>
    <t>Delacour Estate</t>
  </si>
  <si>
    <t>action</t>
  </si>
  <si>
    <t>route_id/id</t>
  </si>
  <si>
    <t>cust_i44</t>
  </si>
  <si>
    <t>Apolline Delacour</t>
  </si>
  <si>
    <t>location_src_id</t>
  </si>
  <si>
    <t>cust_i45</t>
  </si>
  <si>
    <t>Monsieur Delacour</t>
  </si>
  <si>
    <t>location_dest_id</t>
  </si>
  <si>
    <t>picking_type_id/id</t>
  </si>
  <si>
    <t>cust_i46</t>
  </si>
  <si>
    <t>Amos Diggory</t>
  </si>
  <si>
    <t>procure_method</t>
  </si>
  <si>
    <t>location_dest_from_rule</t>
  </si>
  <si>
    <t>propagate_cancel</t>
  </si>
  <si>
    <t>cust_i47</t>
  </si>
  <si>
    <t>Barty Crouch Sr</t>
  </si>
  <si>
    <t>delay</t>
  </si>
  <si>
    <t>auto</t>
  </si>
  <si>
    <t>categ_magical_gear</t>
  </si>
  <si>
    <t>cust_i48</t>
  </si>
  <si>
    <t>Barty Crouch Jr</t>
  </si>
  <si>
    <t>Magical Gear</t>
  </si>
  <si>
    <t>categ_wands</t>
  </si>
  <si>
    <t>Azkaban</t>
  </si>
  <si>
    <t>bi_rule_uk_dispatch</t>
  </si>
  <si>
    <t>Wands &amp; Focuses</t>
  </si>
  <si>
    <t>North Sea</t>
  </si>
  <si>
    <t>categ_brooms</t>
  </si>
  <si>
    <t>Brooms &amp; Transport</t>
  </si>
  <si>
    <t>categ_apothecary</t>
  </si>
  <si>
    <t>Apothecary</t>
  </si>
  <si>
    <t>categ_potions</t>
  </si>
  <si>
    <t>Brewed Potions</t>
  </si>
  <si>
    <t>pull</t>
  </si>
  <si>
    <t>cust_i49</t>
  </si>
  <si>
    <t>Ludo Bagman</t>
  </si>
  <si>
    <t>categ_raw_ingredients</t>
  </si>
  <si>
    <t>Raw Ingredients</t>
  </si>
  <si>
    <t>categ_wand_components</t>
  </si>
  <si>
    <t>Wand Components</t>
  </si>
  <si>
    <t>categ_consumables</t>
  </si>
  <si>
    <t>Consumables</t>
  </si>
  <si>
    <t>cust_i50</t>
  </si>
  <si>
    <t>Rufus Scrimgeour</t>
  </si>
  <si>
    <t>make_to_order</t>
  </si>
  <si>
    <t>cust_i51</t>
  </si>
  <si>
    <t>Pius Thicknesse</t>
  </si>
  <si>
    <t>cust_i52</t>
  </si>
  <si>
    <t>Cornelius Fudge</t>
  </si>
  <si>
    <t>manual</t>
  </si>
  <si>
    <t>bi_rule_uk_receipt</t>
  </si>
  <si>
    <t>cust_i53</t>
  </si>
  <si>
    <t>Amelia Bones</t>
  </si>
  <si>
    <t>cust_i54</t>
  </si>
  <si>
    <t>Edgar Bones</t>
  </si>
  <si>
    <t>Bones Estate</t>
  </si>
  <si>
    <t>cust_i55</t>
  </si>
  <si>
    <t>Frank Longbottom</t>
  </si>
  <si>
    <t>St Mungo's</t>
  </si>
  <si>
    <t>cust_i56</t>
  </si>
  <si>
    <t>Alice Longbottom</t>
  </si>
  <si>
    <t>cust_i57</t>
  </si>
  <si>
    <t>Augusta Longbottom</t>
  </si>
  <si>
    <t>Longbottom Estate</t>
  </si>
  <si>
    <t>bi_rule_us_dispatch</t>
  </si>
  <si>
    <t>cust_i58</t>
  </si>
  <si>
    <t>Neville Longbottom</t>
  </si>
  <si>
    <t>cust_i59</t>
  </si>
  <si>
    <t>Hannah Abbott</t>
  </si>
  <si>
    <t>cust_i60</t>
  </si>
  <si>
    <t>Susan Bones</t>
  </si>
  <si>
    <t>cust_i61</t>
  </si>
  <si>
    <t>Ernie Macmillan</t>
  </si>
  <si>
    <t>Macmillan Manor</t>
  </si>
  <si>
    <t>Yorkshire</t>
  </si>
  <si>
    <t>bi_rule_us_receipt</t>
  </si>
  <si>
    <t>type</t>
  </si>
  <si>
    <t>is_storable</t>
  </si>
  <si>
    <t>default_code</t>
  </si>
  <si>
    <t>purchase_ok</t>
  </si>
  <si>
    <t>sale_ok</t>
  </si>
  <si>
    <t>cust_i62</t>
  </si>
  <si>
    <t>Justin Finch-Fletchley</t>
  </si>
  <si>
    <t>uom_id/id</t>
  </si>
  <si>
    <t>Eton Area</t>
  </si>
  <si>
    <t>Berkshire</t>
  </si>
  <si>
    <t>standard_price</t>
  </si>
  <si>
    <t>categ_id/id</t>
  </si>
  <si>
    <t>bi_rule_sg_dispatch</t>
  </si>
  <si>
    <t>cust_i63</t>
  </si>
  <si>
    <t>Zacharias Smith</t>
  </si>
  <si>
    <t>Smith Residence</t>
  </si>
  <si>
    <t>list_price</t>
  </si>
  <si>
    <t>invoice_policy</t>
  </si>
  <si>
    <t>cust_i64</t>
  </si>
  <si>
    <t>Terry Boot</t>
  </si>
  <si>
    <t>route_ids/id</t>
  </si>
  <si>
    <t>Boot House</t>
  </si>
  <si>
    <t>Bristol</t>
  </si>
  <si>
    <t>purchase_method</t>
  </si>
  <si>
    <t>cust_i65</t>
  </si>
  <si>
    <t>Michael Corner</t>
  </si>
  <si>
    <t>Corner Residence</t>
  </si>
  <si>
    <t>prod_wand_holly</t>
  </si>
  <si>
    <t>cust_i66</t>
  </si>
  <si>
    <t>Anthony Goldstein</t>
  </si>
  <si>
    <t>Goldstein Estate</t>
  </si>
  <si>
    <t>consu</t>
  </si>
  <si>
    <t>bi_rule_sg_receipt</t>
  </si>
  <si>
    <t>cust_i67</t>
  </si>
  <si>
    <t>Marietta Edgecombe</t>
  </si>
  <si>
    <t>Edgecombe House</t>
  </si>
  <si>
    <t>Surrey</t>
  </si>
  <si>
    <t>WAND-001</t>
  </si>
  <si>
    <t>cust_i68</t>
  </si>
  <si>
    <t>Parvati Patil</t>
  </si>
  <si>
    <t>Holly &amp; Phoenix Feather Wand</t>
  </si>
  <si>
    <t>Patil Residence</t>
  </si>
  <si>
    <t>cust_i69</t>
  </si>
  <si>
    <t>Lavender Brown</t>
  </si>
  <si>
    <t>Brown Residence</t>
  </si>
  <si>
    <t>uom.product_uom_unit</t>
  </si>
  <si>
    <t>cust_i70</t>
  </si>
  <si>
    <t>Seamus Finnigan</t>
  </si>
  <si>
    <t>Finnigan Farm</t>
  </si>
  <si>
    <t>Kenmare</t>
  </si>
  <si>
    <t>base.ie</t>
  </si>
  <si>
    <t>bi_rule_buy</t>
  </si>
  <si>
    <t>delivery</t>
  </si>
  <si>
    <t>product_tmpl_id</t>
  </si>
  <si>
    <t>buy</t>
  </si>
  <si>
    <t>product_id/id</t>
  </si>
  <si>
    <t>bi_route_manufacture,bi_route_delivery,bi_route_uk,bi_route_us,bi_route_sg</t>
  </si>
  <si>
    <t>min_qty</t>
  </si>
  <si>
    <t>receive</t>
  </si>
  <si>
    <t>cust_i71</t>
  </si>
  <si>
    <t>price</t>
  </si>
  <si>
    <t>Dean Thomas</t>
  </si>
  <si>
    <t>Thomas Home</t>
  </si>
  <si>
    <t>currency_id/id</t>
  </si>
  <si>
    <t>prod_wand_elder</t>
  </si>
  <si>
    <t>cust_i72</t>
  </si>
  <si>
    <t>Cormac McLaggen</t>
  </si>
  <si>
    <t>McLaggen Estate</t>
  </si>
  <si>
    <t>Scottish Highlands</t>
  </si>
  <si>
    <t>WAND-002</t>
  </si>
  <si>
    <t>bi_rule_manufacture</t>
  </si>
  <si>
    <t>cust_i73</t>
  </si>
  <si>
    <t>Romilda Vane</t>
  </si>
  <si>
    <t>Elder Wood Wand</t>
  </si>
  <si>
    <t>Vane Residence</t>
  </si>
  <si>
    <t>manufacture</t>
  </si>
  <si>
    <t>cust_i74</t>
  </si>
  <si>
    <t>Colin Creevey</t>
  </si>
  <si>
    <t>date_start</t>
  </si>
  <si>
    <t>Creevey Home</t>
  </si>
  <si>
    <t>bi_vendor_prod_nimbus_1</t>
  </si>
  <si>
    <t>cust_i75</t>
  </si>
  <si>
    <t>Dennis Creevey</t>
  </si>
  <si>
    <t>cust_i76</t>
  </si>
  <si>
    <t>Lee Jordan</t>
  </si>
  <si>
    <t>Nimbus 2000</t>
  </si>
  <si>
    <t>Jordan Residence</t>
  </si>
  <si>
    <t>prod_nimbus</t>
  </si>
  <si>
    <t>bi_rule_be_delivery</t>
  </si>
  <si>
    <t>cust_i77</t>
  </si>
  <si>
    <t>Angelina Johnson</t>
  </si>
  <si>
    <t>Johnson Residence</t>
  </si>
  <si>
    <t>BI BE demand driven delivery</t>
  </si>
  <si>
    <t>cust_i78</t>
  </si>
  <si>
    <t>Alicia Spinnet</t>
  </si>
  <si>
    <t>Spinnet Residence</t>
  </si>
  <si>
    <t>base.EUR</t>
  </si>
  <si>
    <t>cust_i79</t>
  </si>
  <si>
    <t>Katie Bell</t>
  </si>
  <si>
    <t>Bell Residence</t>
  </si>
  <si>
    <t>cust_i80</t>
  </si>
  <si>
    <t>Oliver Wood</t>
  </si>
  <si>
    <t>Wood Residence</t>
  </si>
  <si>
    <t>cust_i81</t>
  </si>
  <si>
    <t>Marcus Flint</t>
  </si>
  <si>
    <t>bi_vendor_prod_nimbus_2</t>
  </si>
  <si>
    <t>Flint Manor</t>
  </si>
  <si>
    <t>cust_i82</t>
  </si>
  <si>
    <t>Adrian Pucey</t>
  </si>
  <si>
    <t>Pucey Manor</t>
  </si>
  <si>
    <t>BRM-001</t>
  </si>
  <si>
    <t>bi_rule_uk_delivery</t>
  </si>
  <si>
    <t>BI UK demand driven delivery</t>
  </si>
  <si>
    <t>cust_i83</t>
  </si>
  <si>
    <t>Terence Higgs</t>
  </si>
  <si>
    <t>Higgs Residence</t>
  </si>
  <si>
    <t>cust_i84</t>
  </si>
  <si>
    <t>Vernon Dursley</t>
  </si>
  <si>
    <t>4 Privet Drive</t>
  </si>
  <si>
    <t>Little Whinging</t>
  </si>
  <si>
    <t>cust_i85</t>
  </si>
  <si>
    <t>Petunia Dursley</t>
  </si>
  <si>
    <t>cust_i86</t>
  </si>
  <si>
    <t>Dudley Dursley</t>
  </si>
  <si>
    <t>cust_i87</t>
  </si>
  <si>
    <t>Marjorie Dursley</t>
  </si>
  <si>
    <t>Country House</t>
  </si>
  <si>
    <t>bi_vendor_prod_nimbus_3</t>
  </si>
  <si>
    <t>bi_route_buy,bi_route_delivery,bi_route_uk,bi_route_us,bi_route_sg</t>
  </si>
  <si>
    <t>cust_i88</t>
  </si>
  <si>
    <t>Arabella Figg</t>
  </si>
  <si>
    <t>Wisteria Walk</t>
  </si>
  <si>
    <t>cust_i89</t>
  </si>
  <si>
    <t>bi_rule_us_delivery</t>
  </si>
  <si>
    <t>Mundungus Fletcher</t>
  </si>
  <si>
    <t>Hog's Head Inn</t>
  </si>
  <si>
    <t>prod_firebolt</t>
  </si>
  <si>
    <t>BI US demand driven delivery</t>
  </si>
  <si>
    <t>cust_i90</t>
  </si>
  <si>
    <t>Aberforth Dumbledore</t>
  </si>
  <si>
    <t>BRM-002</t>
  </si>
  <si>
    <t>Demo logistics park</t>
  </si>
  <si>
    <t>Brussels</t>
  </si>
  <si>
    <t>Firebolt</t>
  </si>
  <si>
    <t>bi_vendor_prod_firebolt_1</t>
  </si>
  <si>
    <t>bi_rule_sg_delivery</t>
  </si>
  <si>
    <t>BI SG demand driven delivery</t>
  </si>
  <si>
    <t>bi_vendor_prod_firebolt_2</t>
  </si>
  <si>
    <t>prod_felix</t>
  </si>
  <si>
    <t>POT-001</t>
  </si>
  <si>
    <t>Felix Felicis (Liquid Luck)</t>
  </si>
  <si>
    <t>bi_vendor_prod_firebolt_3</t>
  </si>
  <si>
    <t>prod_polyjuice</t>
  </si>
  <si>
    <t>POT-002</t>
  </si>
  <si>
    <t>Polyjuice Potion</t>
  </si>
  <si>
    <t>bi_vendor_prod_ashwinder_egg_1</t>
  </si>
  <si>
    <t>Ashwinder Egg</t>
  </si>
  <si>
    <t>prod_ashwinder_egg</t>
  </si>
  <si>
    <t>bi_vendor_prod_ashwinder_egg_2</t>
  </si>
  <si>
    <t>RAW-001</t>
  </si>
  <si>
    <t>bi_vendor_prod_ashwinder_egg_3</t>
  </si>
  <si>
    <t>prod_squill_bulb</t>
  </si>
  <si>
    <t>RAW-002</t>
  </si>
  <si>
    <t>Squill Bulb</t>
  </si>
  <si>
    <t>bi_vendor_prod_squill_bulb_1</t>
  </si>
  <si>
    <t>bi_vendor_prod_squill_bulb_2</t>
  </si>
  <si>
    <t>prod_lacewing</t>
  </si>
  <si>
    <t>RAW-003</t>
  </si>
  <si>
    <t>Lacewing Flies</t>
  </si>
  <si>
    <t>bi_vendor_prod_squill_bulb_3</t>
  </si>
  <si>
    <t>product_qty</t>
  </si>
  <si>
    <t>bom_felix</t>
  </si>
  <si>
    <t>normal</t>
  </si>
  <si>
    <t>bi_vendor_prod_lacewing_1</t>
  </si>
  <si>
    <t>bom_polyjuice</t>
  </si>
  <si>
    <t>prod_boomslang</t>
  </si>
  <si>
    <t>bom_wand_holly</t>
  </si>
  <si>
    <t>bi_vendor_prod_lacewing_2</t>
  </si>
  <si>
    <t>RAW-004</t>
  </si>
  <si>
    <t>bom_wand_elder</t>
  </si>
  <si>
    <t>Boomslang Skin</t>
  </si>
  <si>
    <t>bom_id/id</t>
  </si>
  <si>
    <t>bom_line_felix_1</t>
  </si>
  <si>
    <t>bi_vendor_prod_lacewing_3</t>
  </si>
  <si>
    <t>bom_line_felix_2</t>
  </si>
  <si>
    <t>prod_phoenix_feather</t>
  </si>
  <si>
    <t>bi_vendor_prod_boomslang_1</t>
  </si>
  <si>
    <t>COMP-001</t>
  </si>
  <si>
    <t>Phoenix Feather</t>
  </si>
  <si>
    <t>bom_line_poly_1</t>
  </si>
  <si>
    <t>bi_vendor_prod_boomslang_2</t>
  </si>
  <si>
    <t>bom_line_poly_2</t>
  </si>
  <si>
    <t>prod_holly_wood</t>
  </si>
  <si>
    <t>bom_line_wand_1</t>
  </si>
  <si>
    <t>COMP-002</t>
  </si>
  <si>
    <t>Holly Wood Branch</t>
  </si>
  <si>
    <t>bi_vendor_prod_boomslang_3</t>
  </si>
  <si>
    <t>bom_line_wand_2</t>
  </si>
  <si>
    <t>bom_line_elder_1</t>
  </si>
  <si>
    <t>prod_elder_wood</t>
  </si>
  <si>
    <t>prod_chocolate_frog</t>
  </si>
  <si>
    <t>bom_line_elder_2</t>
  </si>
  <si>
    <t>bi_vendor_prod_phoenix_feather_1</t>
  </si>
  <si>
    <t>prod_thestral_hair</t>
  </si>
  <si>
    <t>CONSU-001</t>
  </si>
  <si>
    <t>Chocogrenouilles (Chocolate Frogs)</t>
  </si>
  <si>
    <t>bi_vendor_prod_phoenix_feather_2</t>
  </si>
  <si>
    <t>prod_gillyweed</t>
  </si>
  <si>
    <t>CONSU-002</t>
  </si>
  <si>
    <t>Gillyweed</t>
  </si>
  <si>
    <t>bi_vendor_prod_phoenix_feather_3</t>
  </si>
  <si>
    <t>plan_product_lines</t>
  </si>
  <si>
    <t>Product Lines</t>
  </si>
  <si>
    <t>plan_production_type</t>
  </si>
  <si>
    <t>Production type</t>
  </si>
  <si>
    <t>COMP-003</t>
  </si>
  <si>
    <t>bi_vendor_prod_holly_wood_1</t>
  </si>
  <si>
    <t>Elder Wood Branch</t>
  </si>
  <si>
    <t>bi_vendor_prod_holly_wood_2</t>
  </si>
  <si>
    <t>COMP-004</t>
  </si>
  <si>
    <t>Thestral Tail Hair</t>
  </si>
  <si>
    <t>bi_vendor_prod_holly_wood_3</t>
  </si>
  <si>
    <t>product_categ_id/id</t>
  </si>
  <si>
    <t>analytic_distribution</t>
  </si>
  <si>
    <t>dist_model_gear</t>
  </si>
  <si>
    <t>{"1": 100,"4": 100}</t>
  </si>
  <si>
    <t>bi_vendor_prod_chocolate_frog_1</t>
  </si>
  <si>
    <t>dist_model_apothecary</t>
  </si>
  <si>
    <t>{"2": 100,"3": 100}</t>
  </si>
  <si>
    <t>dist_model_wands</t>
  </si>
  <si>
    <t>dist_model_brooms</t>
  </si>
  <si>
    <t>{"1": 100,"3": 100}</t>
  </si>
  <si>
    <t>dist_model_potions</t>
  </si>
  <si>
    <t>{"2": 100,"4": 100}</t>
  </si>
  <si>
    <t>dist_model_raw_ingredients</t>
  </si>
  <si>
    <t>dist_model_wand_components</t>
  </si>
  <si>
    <t>dist_model_consumables</t>
  </si>
  <si>
    <t>plan_id/id</t>
  </si>
  <si>
    <t>analytic_magical_gear</t>
  </si>
  <si>
    <t>bi_vendor_prod_chocolate_frog_2</t>
  </si>
  <si>
    <t>analytic_apothecary</t>
  </si>
  <si>
    <t>date_from</t>
  </si>
  <si>
    <t>date_to</t>
  </si>
  <si>
    <t>budget_type</t>
  </si>
  <si>
    <t>budget_2016</t>
  </si>
  <si>
    <t>FY 2016 Budget</t>
  </si>
  <si>
    <t>analytic_consu</t>
  </si>
  <si>
    <t>Purchased</t>
  </si>
  <si>
    <t>revenue</t>
  </si>
  <si>
    <t>analytic_production</t>
  </si>
  <si>
    <t>budget_2017</t>
  </si>
  <si>
    <t>FY 2017 Budget</t>
  </si>
  <si>
    <t>Manufactured</t>
  </si>
  <si>
    <t>budget_2018</t>
  </si>
  <si>
    <t>FY 2018 Budget</t>
  </si>
  <si>
    <t>bi_vendor_prod_chocolate_frog_3</t>
  </si>
  <si>
    <t>budget_2019</t>
  </si>
  <si>
    <t>FY 2019 Budget</t>
  </si>
  <si>
    <t>budget_2020</t>
  </si>
  <si>
    <t>FY 2020 Budget</t>
  </si>
  <si>
    <t>budget_2021</t>
  </si>
  <si>
    <t>FY 2021 Budget</t>
  </si>
  <si>
    <t>budget_2022</t>
  </si>
  <si>
    <t>FY 2022 Budget</t>
  </si>
  <si>
    <t>budget_2023</t>
  </si>
  <si>
    <t>FY 2023 Budget</t>
  </si>
  <si>
    <t>budget_2024</t>
  </si>
  <si>
    <t>FY 2024 Budget</t>
  </si>
  <si>
    <t>budget_2025</t>
  </si>
  <si>
    <t>FY 2025 Budget</t>
  </si>
  <si>
    <t>budget_2026</t>
  </si>
  <si>
    <t>FY 2026 Budget</t>
  </si>
  <si>
    <t>bi_vendor_prod_gillyweed_1</t>
  </si>
  <si>
    <t>bi_vendor_prod_gillyweed_2</t>
  </si>
  <si>
    <t>bi_vendor_prod_gillyweed_3</t>
  </si>
  <si>
    <t>bi_vendor_prod_elder_wood_1</t>
  </si>
  <si>
    <t>budget_analytic_id/id</t>
  </si>
  <si>
    <t>x_plan3_id/id</t>
  </si>
  <si>
    <t>x_plan2_id/id</t>
  </si>
  <si>
    <t>budget_amount</t>
  </si>
  <si>
    <t>budget_line_16_gear</t>
  </si>
  <si>
    <t>state</t>
  </si>
  <si>
    <t>model_id/id</t>
  </si>
  <si>
    <t>import_server_action_RNG_0001</t>
  </si>
  <si>
    <t>OXP Talk 2025 : Initialise data</t>
  </si>
  <si>
    <t>base.model_ir_actions_server</t>
  </si>
  <si>
    <t>budget_line_16_apoth</t>
  </si>
  <si>
    <t xml:space="preserve">uid = env.context.get('uid', 1)
active_id = env.context.get('active_id', 1)
companies = env['res.company'].search([])
#######################################################################Operations for main data + 5.1
for company in companies:
    ctx = dict(env.context)
    pos = env['purchase.order'].with_context(ctx).sudo().search([
        ('state', '=', 'draft'),
    ])
    warehouse = env['stock.warehouse'].with_context(ctx).sudo().search([
    ], limit=1)
    main_location = warehouse.lot_stock_id
    for order in pos:
        date_order = order.date_order
        order.button_confirm()
        order.write({'date_order': date_order})
        order.write({'date_approve': date_order})
    # Stock moves
    moves = env['stock.move'].with_context(ctx).sudo().search([
        ('picking_id.state', '=', 'confirmed')
    ])
    product_qtys = {}
    for move in moves:
        product_qtys[move.product_id.id] = product_qtys.get(move.product_id.id, 0) + move.product_uom_qty
    # Picking assign + validate
    pickings = env['stock.picking'].with_context(ctx).sudo().search([
        ('state', 'in', ['confirmed', 'assigned']),
    ])
    for picking in pickings:
        picking.action_assign()
        picking.button_validate()
    # Update date_done on completed pickings
    pickings_done = env['stock.picking'].with_context(ctx).sudo().search([
        ('state', '=', 'done'),
    ])
    for picking in pickings_done:
        picking.write({'date_done': picking.purchase_id.x_date_effect})
    # Sync stock.move.line and stock.move dates
    lines = env['stock.move.line'].with_context(ctx).sudo().search([
        ('picking_id', 'in', pickings_done.ids)
    ])
    for line in lines:
        line.write({'date': line.picking_id.date_done})
        line.move_id.write({'date': line.picking_id.scheduled_date})
    # Create invoices
    orders_to_invoice = env['purchase.order'].with_context(ctx).sudo().search([
        ('invoice_status', '=', 'to invoice'),
        ('state', '=', 'purchase')
    ])
    for order in orders_to_invoice:
        invoices = order.action_create_invoice()
        order.invoice_ids.action_post()
    # Register 90% payments
    invoices = env['account.move'].with_context(ctx).sudo().search([
        ('move_type', '=', 'in_invoice'),
        ('state', '=', 'posted'),
        ('payment_state', '!=', 'paid')
    ])
    for invoice in invoices:
        rand = ((uid + invoice.id + active_id) % 100) / 100.0
        if rand &lt; 0.9:
            journal = env['account.journal'].with_context(ctx).sudo().search([
                ('type', '=', 'bank'),
                ('company_id', '=', invoice.company_id.id)
            ], limit=1)
            if journal:
                payment_date = invoice.invoice_date or fields.Date.context_today(invoice)
                statement_lines = env['account.bank.statement.line'].with_context(ctx).sudo().create({
                    'date': payment_date,
                    'payment_ref': invoice.name,
                    'amount': invoice.amount_total,
                    'partner_id': invoice.partner_id.id,
                    'company_id': invoice.company_id.id,
                    'journal_id': journal.id,
                })
    statement_lines = env['account.bank.statement.line'].with_context(ctx).sudo().search([])
    statement_lines._cron_try_auto_reconcile_statement_lines(batch_size=100)
    </t>
  </si>
  <si>
    <t>bi_vendor_prod_elder_wood_2</t>
  </si>
  <si>
    <t>budget_line_16_prod</t>
  </si>
  <si>
    <t>budget_line_16_consu</t>
  </si>
  <si>
    <t>budget_line_17_gear</t>
  </si>
  <si>
    <t>budget_line_17_apoth</t>
  </si>
  <si>
    <t>budget_line_17_prod</t>
  </si>
  <si>
    <t>budget_line_17_consu</t>
  </si>
  <si>
    <t>budget_line_18_gear</t>
  </si>
  <si>
    <t>budget_line_18_apoth</t>
  </si>
  <si>
    <t>budget_line_18_prod</t>
  </si>
  <si>
    <t>bi_vendor_prod_elder_wood_3</t>
  </si>
  <si>
    <t>budget_line_18_consu</t>
  </si>
  <si>
    <t>budget_line_19_gear</t>
  </si>
  <si>
    <t>budget_line_19_apoth</t>
  </si>
  <si>
    <t>budget_line_19_prod</t>
  </si>
  <si>
    <t>budget_line_19_consu</t>
  </si>
  <si>
    <t>budget_line_20_gear</t>
  </si>
  <si>
    <t>bi_vendor_prod_thestral_hair_1</t>
  </si>
  <si>
    <t>budget_line_20_apoth</t>
  </si>
  <si>
    <t>budget_line_20_prod</t>
  </si>
  <si>
    <t>budget_line_20_consu</t>
  </si>
  <si>
    <t>budget_line_21_gear</t>
  </si>
  <si>
    <t>budget_line_21_apoth</t>
  </si>
  <si>
    <t>budget_line_21_prod</t>
  </si>
  <si>
    <t>budget_line_21_consu</t>
  </si>
  <si>
    <t>budget_line_22_gear</t>
  </si>
  <si>
    <t>budget_line_22_apoth</t>
  </si>
  <si>
    <t>budget_line_22_prod</t>
  </si>
  <si>
    <t>budget_line_22_consu</t>
  </si>
  <si>
    <t>budget_line_23_gear</t>
  </si>
  <si>
    <t>bi_vendor_prod_thestral_hair_2</t>
  </si>
  <si>
    <t>budget_line_23_apoth</t>
  </si>
  <si>
    <t>budget_line_23_prod</t>
  </si>
  <si>
    <t>budget_line_23_consu</t>
  </si>
  <si>
    <t>budget_line_24_gear</t>
  </si>
  <si>
    <t>budget_line_24_apoth</t>
  </si>
  <si>
    <t>budget_line_24_prod</t>
  </si>
  <si>
    <t>budget_line_24_consu</t>
  </si>
  <si>
    <t>budget_line_25_gear</t>
  </si>
  <si>
    <t>budget_line_25_apoth</t>
  </si>
  <si>
    <t>budget_line_25_prod</t>
  </si>
  <si>
    <t>budget_line_25_consu</t>
  </si>
  <si>
    <t>budget_line_26_gear</t>
  </si>
  <si>
    <t>budget_line_26_apoth</t>
  </si>
  <si>
    <t>bi_vendor_prod_thestral_hair_3</t>
  </si>
  <si>
    <t>budget_line_26_prod</t>
  </si>
  <si>
    <t>budget_line_26_consu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</si>
</sst>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rgb="FF000000"/>
      <name val="Arial"/>
    </font>
    <font>
      <u/>
      <sz val="11.0"/>
      <color rgb="FF374151"/>
      <name val="-apple-system"/>
    </font>
    <font>
      <sz val="11.0"/>
      <color rgb="FF374151"/>
      <name val="-apple-system"/>
    </font>
    <font>
      <color rgb="FF172B4D"/>
      <name val="Arial"/>
    </font>
    <font>
      <sz val="11.0"/>
      <color theme="1"/>
      <name val="Arial"/>
    </font>
    <font>
      <sz val="11.0"/>
      <color rgb="FF000000"/>
      <name val="Calibri"/>
    </font>
    <font>
      <u/>
      <color rgb="FF172B4D"/>
      <name val="Arial"/>
    </font>
    <font>
      <u/>
      <color rgb="FF172B4D"/>
      <name val="Arial"/>
    </font>
    <font>
      <b/>
      <sz val="10.0"/>
      <color rgb="FFFFFFFF"/>
      <name val="Arial"/>
    </font>
    <font>
      <sz val="10.0"/>
      <color rgb="FF172B4D"/>
      <name val="Arial"/>
    </font>
    <font>
      <sz val="8.0"/>
      <color theme="1"/>
      <name val="Arial"/>
    </font>
    <font>
      <sz val="8.0"/>
      <color theme="1"/>
      <name val="&quot;Liberation Sans&quot;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  <fill>
      <patternFill patternType="solid">
        <fgColor rgb="FF263E57"/>
        <bgColor rgb="FF263E57"/>
      </patternFill>
    </fill>
  </fills>
  <borders count="13">
    <border/>
    <border>
      <left style="thin">
        <color rgb="FFBFBFBF"/>
      </left>
      <right style="thin">
        <color rgb="FFF0F4F8"/>
      </right>
      <top style="thin">
        <color rgb="FFF0F4F8"/>
      </top>
      <bottom style="thin">
        <color rgb="FFF0F4F8"/>
      </bottom>
    </border>
    <border>
      <left style="thin">
        <color rgb="FFF0F4F8"/>
      </left>
      <right style="thin">
        <color rgb="FFF0F4F8"/>
      </right>
      <top style="thin">
        <color rgb="FFF0F4F8"/>
      </top>
      <bottom style="thin">
        <color rgb="FFF0F4F8"/>
      </bottom>
    </border>
    <border>
      <left style="thin">
        <color rgb="FFF0F4F8"/>
      </left>
      <right style="thin">
        <color rgb="FFBFBFBF"/>
      </right>
      <top style="thin">
        <color rgb="FFF0F4F8"/>
      </top>
      <bottom style="thin">
        <color rgb="FFF0F4F8"/>
      </bottom>
    </border>
    <border>
      <left style="thin">
        <color rgb="FFBFBFB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FBFBF"/>
      </right>
      <top style="thin">
        <color rgb="FFFFFFFF"/>
      </top>
      <bottom style="thin">
        <color rgb="FFFFFFFF"/>
      </bottom>
    </border>
    <border>
      <left style="thin">
        <color rgb="FFBFBFBF"/>
      </left>
      <right style="thin">
        <color rgb="FFFFFFFF"/>
      </right>
      <top style="thin">
        <color rgb="FFFFFFFF"/>
      </top>
      <bottom style="thin">
        <color rgb="FFBFBFBF"/>
      </bottom>
    </border>
    <border>
      <left style="thin">
        <color rgb="FFFFFFFF"/>
      </left>
      <right style="thin">
        <color rgb="FFBFBFBF"/>
      </right>
      <top style="thin">
        <color rgb="FFFFFFFF"/>
      </top>
      <bottom style="thin">
        <color rgb="FFBFBFBF"/>
      </bottom>
    </border>
    <border>
      <left style="thin">
        <color rgb="FFBFBFBF"/>
      </left>
      <right style="thin">
        <color rgb="FFF0F4F8"/>
      </right>
      <top style="thin">
        <color rgb="FFF0F4F8"/>
      </top>
      <bottom style="thin">
        <color rgb="FFBFBFBF"/>
      </bottom>
    </border>
    <border>
      <left style="thin">
        <color rgb="FFF0F4F8"/>
      </left>
      <right style="thin">
        <color rgb="FFF0F4F8"/>
      </right>
      <top style="thin">
        <color rgb="FFF0F4F8"/>
      </top>
      <bottom style="thin">
        <color rgb="FFBFBFBF"/>
      </bottom>
    </border>
    <border>
      <left style="thin">
        <color rgb="FFF0F4F8"/>
      </left>
      <right style="thin">
        <color rgb="FFBFBFBF"/>
      </right>
      <top style="thin">
        <color rgb="FFF0F4F8"/>
      </top>
      <bottom style="thin">
        <color rgb="FFBFBF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FBFBF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2" fontId="1" numFmtId="0" xfId="0" applyFill="1" applyFont="1"/>
    <xf borderId="0" fillId="3" fontId="5" numFmtId="0" xfId="0" applyAlignment="1" applyFill="1" applyFont="1">
      <alignment readingOrder="0" vertical="top"/>
    </xf>
    <xf borderId="0" fillId="0" fontId="2" numFmtId="0" xfId="0" applyAlignment="1" applyFont="1">
      <alignment shrinkToFit="0" vertical="bottom" wrapText="0"/>
    </xf>
    <xf borderId="0" fillId="3" fontId="6" numFmtId="0" xfId="0" applyAlignment="1" applyFill="1" applyFont="1">
      <alignment vertical="top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shrinkToFit="0" wrapText="0"/>
    </xf>
    <xf borderId="1" fillId="4" fontId="7" numFmtId="0" xfId="0" applyAlignment="1" applyBorder="1" applyFill="1" applyFont="1">
      <alignment shrinkToFit="0" wrapText="0"/>
    </xf>
    <xf borderId="2" fillId="4" fontId="7" numFmtId="0" xfId="0" applyAlignment="1" applyBorder="1" applyFill="1" applyFont="1">
      <alignment shrinkToFit="0" wrapText="0"/>
    </xf>
    <xf borderId="2" fillId="4" fontId="7" numFmtId="0" xfId="0" applyAlignment="1" applyBorder="1" applyFill="1" applyFont="1">
      <alignment horizontal="center" shrinkToFit="0" wrapText="0"/>
    </xf>
    <xf borderId="2" fillId="4" fontId="8" numFmtId="0" xfId="0" applyBorder="1" applyFill="1" applyFont="1"/>
    <xf borderId="2" fillId="4" fontId="7" numFmtId="0" xfId="0" applyAlignment="1" applyBorder="1" applyFill="1" applyFont="1">
      <alignment horizontal="right" shrinkToFit="0" wrapText="0"/>
    </xf>
    <xf borderId="3" fillId="4" fontId="8" numFmtId="0" xfId="0" applyBorder="1" applyFill="1" applyFont="1"/>
    <xf borderId="0" fillId="0" fontId="1" numFmtId="0" xfId="0" applyFont="1"/>
    <xf borderId="4" fillId="3" fontId="7" numFmtId="0" xfId="0" applyAlignment="1" applyBorder="1" applyFill="1" applyFont="1">
      <alignment shrinkToFit="0" wrapText="0"/>
    </xf>
    <xf borderId="5" fillId="3" fontId="7" numFmtId="0" xfId="0" applyAlignment="1" applyBorder="1" applyFill="1" applyFont="1">
      <alignment shrinkToFit="0" wrapText="0"/>
    </xf>
    <xf borderId="5" fillId="3" fontId="7" numFmtId="0" xfId="0" applyAlignment="1" applyBorder="1" applyFill="1" applyFont="1">
      <alignment horizontal="center" shrinkToFit="0" wrapText="0"/>
    </xf>
    <xf borderId="5" fillId="3" fontId="8" numFmtId="0" xfId="0" applyBorder="1" applyFill="1" applyFont="1"/>
    <xf borderId="5" fillId="3" fontId="7" numFmtId="0" xfId="0" applyAlignment="1" applyBorder="1" applyFill="1" applyFont="1">
      <alignment horizontal="right" shrinkToFit="0" wrapText="0"/>
    </xf>
    <xf borderId="6" fillId="3" fontId="8" numFmtId="0" xfId="0" applyBorder="1" applyFill="1" applyFont="1"/>
    <xf borderId="0" fillId="0" fontId="3" numFmtId="0" xfId="0" applyAlignment="1" applyFont="1">
      <alignment horizontal="center" vertical="bottom"/>
    </xf>
    <xf borderId="2" fillId="4" fontId="8" numFmtId="0" xfId="0" applyBorder="1" applyFill="1" applyFont="1"/>
    <xf borderId="0" fillId="0" fontId="9" numFmtId="0" xfId="0" applyAlignment="1" applyFont="1">
      <alignment readingOrder="0"/>
    </xf>
    <xf borderId="0" fillId="0" fontId="9" numFmtId="0" xfId="0" applyFont="1"/>
    <xf borderId="5" fillId="3" fontId="8" numFmtId="0" xfId="0" applyBorder="1" applyFill="1" applyFont="1"/>
    <xf borderId="2" fillId="4" fontId="7" numFmtId="0" xfId="0" applyAlignment="1" applyBorder="1" applyFill="1" applyFont="1">
      <alignment horizontal="center" shrinkToFit="0" wrapText="0"/>
    </xf>
    <xf borderId="2" fillId="4" fontId="10" numFmtId="0" xfId="0" applyAlignment="1" applyBorder="1" applyFill="1" applyFont="1">
      <alignment shrinkToFit="0" wrapText="0"/>
    </xf>
    <xf borderId="3" fillId="4" fontId="7" numFmtId="0" xfId="0" applyAlignment="1" applyBorder="1" applyFill="1" applyFont="1">
      <alignment shrinkToFit="0" wrapText="0"/>
    </xf>
    <xf borderId="5" fillId="3" fontId="7" numFmtId="0" xfId="0" applyAlignment="1" applyBorder="1" applyFill="1" applyFont="1">
      <alignment horizontal="center" shrinkToFit="0" wrapText="0"/>
    </xf>
    <xf borderId="5" fillId="3" fontId="11" numFmtId="0" xfId="0" applyAlignment="1" applyBorder="1" applyFill="1" applyFont="1">
      <alignment shrinkToFit="0" wrapText="0"/>
    </xf>
    <xf borderId="6" fillId="3" fontId="7" numFmtId="0" xfId="0" applyAlignment="1" applyBorder="1" applyFill="1" applyFont="1">
      <alignment shrinkToFit="0" wrapText="0"/>
    </xf>
    <xf borderId="0" fillId="0" fontId="4" numFmtId="0" xfId="0" applyAlignment="1" applyFont="1">
      <alignment horizontal="left" readingOrder="0" shrinkToFit="0" vertical="center" wrapText="1"/>
    </xf>
    <xf borderId="1" fillId="4" fontId="7" numFmtId="0" xfId="0" applyAlignment="1" applyBorder="1" applyFill="1" applyFont="1">
      <alignment shrinkToFit="0" vertical="center" wrapText="0"/>
    </xf>
    <xf borderId="3" fillId="4" fontId="7" numFmtId="0" xfId="0" applyAlignment="1" applyBorder="1" applyFill="1" applyFont="1">
      <alignment shrinkToFit="0" vertical="center" wrapText="0"/>
    </xf>
    <xf borderId="2" fillId="4" fontId="7" numFmtId="0" xfId="0" applyAlignment="1" applyBorder="1" applyFill="1" applyFont="1">
      <alignment shrinkToFit="0" vertical="center" wrapText="0"/>
    </xf>
    <xf borderId="4" fillId="3" fontId="7" numFmtId="0" xfId="0" applyAlignment="1" applyBorder="1" applyFill="1" applyFont="1">
      <alignment shrinkToFit="0" vertical="center" wrapText="0"/>
    </xf>
    <xf borderId="2" fillId="4" fontId="7" numFmtId="0" xfId="0" applyAlignment="1" applyBorder="1" applyFill="1" applyFont="1">
      <alignment horizontal="right" shrinkToFit="0" vertical="center" wrapText="0"/>
    </xf>
    <xf borderId="3" fillId="4" fontId="7" numFmtId="0" xfId="0" applyAlignment="1" applyBorder="1" applyFill="1" applyFont="1">
      <alignment horizontal="center" shrinkToFit="0" vertical="center" wrapText="0"/>
    </xf>
    <xf borderId="6" fillId="3" fontId="7" numFmtId="0" xfId="0" applyAlignment="1" applyBorder="1" applyFill="1" applyFont="1">
      <alignment shrinkToFit="0" vertical="center" wrapText="0"/>
    </xf>
    <xf borderId="5" fillId="3" fontId="7" numFmtId="0" xfId="0" applyAlignment="1" applyBorder="1" applyFill="1" applyFont="1">
      <alignment shrinkToFit="0" vertical="center" wrapText="0"/>
    </xf>
    <xf borderId="5" fillId="3" fontId="7" numFmtId="0" xfId="0" applyAlignment="1" applyBorder="1" applyFill="1" applyFont="1">
      <alignment horizontal="right" shrinkToFit="0" vertical="center" wrapText="0"/>
    </xf>
    <xf borderId="6" fillId="3" fontId="7" numFmtId="0" xfId="0" applyAlignment="1" applyBorder="1" applyFill="1" applyFont="1">
      <alignment horizontal="center" shrinkToFit="0" vertical="center" wrapText="0"/>
    </xf>
    <xf borderId="7" fillId="3" fontId="7" numFmtId="0" xfId="0" applyAlignment="1" applyBorder="1" applyFill="1" applyFont="1">
      <alignment shrinkToFit="0" vertical="center" wrapText="0"/>
    </xf>
    <xf borderId="8" fillId="3" fontId="7" numFmtId="0" xfId="0" applyAlignment="1" applyBorder="1" applyFill="1" applyFont="1">
      <alignment shrinkToFit="0" vertical="center" wrapText="0"/>
    </xf>
    <xf borderId="4" fillId="3" fontId="7" numFmtId="0" xfId="0" applyAlignment="1" applyBorder="1" applyFill="1" applyFont="1">
      <alignment shrinkToFit="0" wrapText="0"/>
    </xf>
    <xf borderId="9" fillId="4" fontId="7" numFmtId="0" xfId="0" applyAlignment="1" applyBorder="1" applyFill="1" applyFont="1">
      <alignment shrinkToFit="0" vertical="center" wrapText="0"/>
    </xf>
    <xf borderId="10" fillId="4" fontId="7" numFmtId="0" xfId="0" applyAlignment="1" applyBorder="1" applyFill="1" applyFont="1">
      <alignment shrinkToFit="0" vertical="center" wrapText="0"/>
    </xf>
    <xf borderId="10" fillId="4" fontId="7" numFmtId="0" xfId="0" applyAlignment="1" applyBorder="1" applyFill="1" applyFont="1">
      <alignment horizontal="right" shrinkToFit="0" vertical="center" wrapText="0"/>
    </xf>
    <xf borderId="5" fillId="3" fontId="7" numFmtId="0" xfId="0" applyAlignment="1" applyBorder="1" applyFill="1" applyFont="1">
      <alignment horizontal="right" shrinkToFit="0" wrapText="0"/>
    </xf>
    <xf borderId="11" fillId="4" fontId="7" numFmtId="0" xfId="0" applyAlignment="1" applyBorder="1" applyFill="1" applyFont="1">
      <alignment horizontal="center" shrinkToFit="0" vertical="center" wrapText="0"/>
    </xf>
    <xf borderId="1" fillId="4" fontId="7" numFmtId="0" xfId="0" applyAlignment="1" applyBorder="1" applyFill="1" applyFont="1">
      <alignment shrinkToFit="0" wrapText="0"/>
    </xf>
    <xf borderId="2" fillId="4" fontId="7" numFmtId="0" xfId="0" applyAlignment="1" applyBorder="1" applyFill="1" applyFont="1">
      <alignment horizontal="right" shrinkToFit="0" wrapText="0"/>
    </xf>
    <xf borderId="1" fillId="4" fontId="7" numFmtId="0" xfId="0" applyAlignment="1" applyBorder="1" applyFill="1" applyFont="1">
      <alignment readingOrder="0" shrinkToFit="0" vertical="center" wrapText="0"/>
    </xf>
    <xf borderId="3" fillId="4" fontId="7" numFmtId="0" xfId="0" applyAlignment="1" applyBorder="1" applyFill="1" applyFont="1">
      <alignment readingOrder="0" shrinkToFit="0" vertical="center" wrapText="0"/>
    </xf>
    <xf borderId="4" fillId="3" fontId="7" numFmtId="0" xfId="0" applyAlignment="1" applyBorder="1" applyFill="1" applyFont="1">
      <alignment readingOrder="0" shrinkToFit="0" vertical="center" wrapText="0"/>
    </xf>
    <xf borderId="6" fillId="3" fontId="7" numFmtId="0" xfId="0" applyAlignment="1" applyBorder="1" applyFill="1" applyFont="1">
      <alignment readingOrder="0" shrinkToFit="0" vertical="center" wrapText="0"/>
    </xf>
    <xf borderId="7" fillId="3" fontId="7" numFmtId="0" xfId="0" applyAlignment="1" applyBorder="1" applyFill="1" applyFont="1">
      <alignment readingOrder="0" shrinkToFit="0" vertical="center" wrapText="0"/>
    </xf>
    <xf borderId="8" fillId="3" fontId="7" numFmtId="0" xfId="0" applyAlignment="1" applyBorder="1" applyFill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1" fillId="4" fontId="7" numFmtId="0" xfId="0" applyAlignment="1" applyBorder="1" applyFill="1" applyFont="1">
      <alignment shrinkToFit="0" vertical="center" wrapText="0"/>
    </xf>
    <xf borderId="2" fillId="4" fontId="7" numFmtId="0" xfId="0" applyAlignment="1" applyBorder="1" applyFill="1" applyFont="1">
      <alignment shrinkToFit="0" vertical="center" wrapText="0"/>
    </xf>
    <xf borderId="3" fillId="4" fontId="8" numFmtId="0" xfId="0" applyAlignment="1" applyBorder="1" applyFill="1" applyFont="1">
      <alignment shrinkToFit="0" vertical="center" wrapText="0"/>
    </xf>
    <xf borderId="4" fillId="3" fontId="7" numFmtId="0" xfId="0" applyAlignment="1" applyBorder="1" applyFill="1" applyFont="1">
      <alignment shrinkToFit="0" vertical="center" wrapText="0"/>
    </xf>
    <xf borderId="5" fillId="3" fontId="7" numFmtId="0" xfId="0" applyAlignment="1" applyBorder="1" applyFill="1" applyFont="1">
      <alignment shrinkToFit="0" vertical="center" wrapText="0"/>
    </xf>
    <xf borderId="6" fillId="3" fontId="7" numFmtId="0" xfId="0" applyAlignment="1" applyBorder="1" applyFill="1" applyFont="1">
      <alignment shrinkToFit="0" vertical="center" wrapText="0"/>
    </xf>
    <xf borderId="3" fillId="4" fontId="7" numFmtId="0" xfId="0" applyAlignment="1" applyBorder="1" applyFill="1" applyFont="1">
      <alignment shrinkToFit="0" vertical="center" wrapText="0"/>
    </xf>
    <xf borderId="11" fillId="4" fontId="7" numFmtId="0" xfId="0" applyAlignment="1" applyBorder="1" applyFill="1" applyFont="1">
      <alignment shrinkToFit="0" vertical="center" wrapText="0"/>
    </xf>
    <xf borderId="0" fillId="5" fontId="12" numFmtId="0" xfId="0" applyAlignment="1" applyFill="1" applyFont="1">
      <alignment horizontal="left" readingOrder="0" shrinkToFit="0" vertical="center" wrapText="1"/>
    </xf>
    <xf borderId="0" fillId="4" fontId="13" numFmtId="0" xfId="0" applyAlignment="1" applyFill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12" fillId="3" fontId="7" numFmtId="0" xfId="0" applyAlignment="1" applyBorder="1" applyFill="1" applyFont="1">
      <alignment shrinkToFit="0" vertical="center" wrapText="0"/>
    </xf>
    <xf borderId="12" fillId="3" fontId="7" numFmtId="0" xfId="0" applyAlignment="1" applyBorder="1" applyFill="1" applyFont="1">
      <alignment horizontal="right" shrinkToFit="0" vertical="center" wrapText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shrinkToFit="0" wrapText="0"/>
    </xf>
    <xf borderId="2" fillId="4" fontId="7" numFmtId="0" xfId="0" applyAlignment="1" applyBorder="1" applyFill="1" applyFont="1">
      <alignment horizontal="center" shrinkToFit="0" vertical="center" wrapText="0"/>
    </xf>
    <xf borderId="2" fillId="4" fontId="7" numFmtId="4" xfId="0" applyAlignment="1" applyBorder="1" applyFill="1" applyFont="1" applyNumberFormat="1">
      <alignment horizontal="right" shrinkToFit="0" vertical="center" wrapText="0"/>
    </xf>
    <xf borderId="2" fillId="4" fontId="7" numFmtId="0" xfId="0" applyAlignment="1" applyBorder="1" applyFill="1" applyFont="1">
      <alignment shrinkToFit="0" vertical="center" wrapText="1"/>
    </xf>
    <xf borderId="5" fillId="3" fontId="7" numFmtId="0" xfId="0" applyAlignment="1" applyBorder="1" applyFill="1" applyFont="1">
      <alignment horizontal="center" shrinkToFit="0" vertical="center" wrapText="0"/>
    </xf>
    <xf borderId="5" fillId="3" fontId="7" numFmtId="4" xfId="0" applyAlignment="1" applyBorder="1" applyFill="1" applyFont="1" applyNumberFormat="1">
      <alignment horizontal="right" shrinkToFit="0" vertical="center" wrapText="0"/>
    </xf>
    <xf borderId="0" fillId="4" fontId="13" numFmtId="4" xfId="0" applyAlignment="1" applyFill="1" applyFont="1" applyNumberFormat="1">
      <alignment shrinkToFit="0" vertical="center" wrapText="0"/>
    </xf>
    <xf borderId="5" fillId="3" fontId="7" numFmtId="0" xfId="0" applyAlignment="1" applyBorder="1" applyFill="1" applyFont="1">
      <alignment shrinkToFit="0" vertical="center" wrapText="1"/>
    </xf>
    <xf borderId="0" fillId="4" fontId="13" numFmtId="164" xfId="0" applyAlignment="1" applyFill="1" applyFont="1" applyNumberFormat="1">
      <alignment shrinkToFit="0" vertical="center" wrapText="0"/>
    </xf>
    <xf borderId="0" fillId="0" fontId="13" numFmtId="4" xfId="0" applyAlignment="1" applyFont="1" applyNumberFormat="1">
      <alignment shrinkToFit="0" vertical="center" wrapText="0"/>
    </xf>
    <xf borderId="0" fillId="0" fontId="13" numFmtId="164" xfId="0" applyAlignment="1" applyFont="1" applyNumberFormat="1">
      <alignment shrinkToFit="0" vertical="center" wrapText="0"/>
    </xf>
    <xf borderId="9" fillId="4" fontId="7" numFmtId="0" xfId="0" applyAlignment="1" applyBorder="1" applyFill="1" applyFont="1">
      <alignment shrinkToFit="0" wrapText="0"/>
    </xf>
    <xf borderId="10" fillId="4" fontId="7" numFmtId="0" xfId="0" applyAlignment="1" applyBorder="1" applyFill="1" applyFont="1">
      <alignment shrinkToFit="0" wrapText="0"/>
    </xf>
    <xf borderId="10" fillId="4" fontId="7" numFmtId="0" xfId="0" applyAlignment="1" applyBorder="1" applyFill="1" applyFont="1">
      <alignment horizontal="center" shrinkToFit="0" wrapText="0"/>
    </xf>
    <xf borderId="10" fillId="4" fontId="7" numFmtId="0" xfId="0" applyAlignment="1" applyBorder="1" applyFill="1" applyFont="1">
      <alignment horizontal="right" shrinkToFit="0" wrapText="0"/>
    </xf>
    <xf borderId="11" fillId="4" fontId="8" numFmtId="0" xfId="0" applyBorder="1" applyFill="1" applyFont="1"/>
    <xf borderId="0" fillId="0" fontId="3" numFmtId="0" xfId="0" applyAlignment="1" applyFont="1">
      <alignment readingOrder="0" vertical="bottom"/>
    </xf>
    <xf borderId="7" fillId="3" fontId="7" numFmtId="0" xfId="0" applyAlignment="1" applyBorder="1" applyFill="1" applyFont="1">
      <alignment shrinkToFit="0" vertical="center" wrapText="0"/>
    </xf>
    <xf borderId="12" fillId="3" fontId="7" numFmtId="0" xfId="0" applyAlignment="1" applyBorder="1" applyFill="1" applyFont="1">
      <alignment shrinkToFit="0" vertical="center" wrapText="0"/>
    </xf>
    <xf borderId="12" fillId="3" fontId="7" numFmtId="0" xfId="0" applyAlignment="1" applyBorder="1" applyFill="1" applyFont="1">
      <alignment horizontal="center" shrinkToFit="0" vertical="center" wrapText="0"/>
    </xf>
    <xf borderId="12" fillId="3" fontId="7" numFmtId="4" xfId="0" applyAlignment="1" applyBorder="1" applyFill="1" applyFont="1" applyNumberFormat="1">
      <alignment horizontal="right" shrinkToFit="0" vertical="center" wrapText="0"/>
    </xf>
    <xf borderId="12" fillId="3" fontId="7" numFmtId="0" xfId="0" applyAlignment="1" applyBorder="1" applyFill="1" applyFont="1">
      <alignment shrinkToFit="0" vertical="center" wrapText="1"/>
    </xf>
    <xf borderId="3" fillId="4" fontId="7" numFmtId="0" xfId="0" applyAlignment="1" applyBorder="1" applyFill="1" applyFont="1">
      <alignment shrinkToFit="0" wrapText="0"/>
    </xf>
    <xf borderId="6" fillId="3" fontId="7" numFmtId="0" xfId="0" applyAlignment="1" applyBorder="1" applyFill="1" applyFont="1">
      <alignment shrinkToFit="0" wrapText="0"/>
    </xf>
    <xf borderId="2" fillId="4" fontId="7" numFmtId="164" xfId="0" applyAlignment="1" applyBorder="1" applyFill="1" applyFont="1" applyNumberFormat="1">
      <alignment horizontal="right" shrinkToFit="0" wrapText="0"/>
    </xf>
    <xf borderId="2" fillId="4" fontId="7" numFmtId="0" xfId="0" applyAlignment="1" applyBorder="1" applyFill="1" applyFont="1">
      <alignment shrinkToFit="0" wrapText="0"/>
    </xf>
    <xf borderId="7" fillId="3" fontId="7" numFmtId="0" xfId="0" applyAlignment="1" applyBorder="1" applyFill="1" applyFont="1">
      <alignment shrinkToFit="0" wrapText="0"/>
    </xf>
    <xf borderId="12" fillId="3" fontId="7" numFmtId="0" xfId="0" applyAlignment="1" applyBorder="1" applyFill="1" applyFont="1">
      <alignment shrinkToFit="0" wrapText="0"/>
    </xf>
    <xf borderId="5" fillId="3" fontId="7" numFmtId="164" xfId="0" applyAlignment="1" applyBorder="1" applyFill="1" applyFont="1" applyNumberFormat="1">
      <alignment horizontal="right" shrinkToFit="0" wrapText="0"/>
    </xf>
    <xf borderId="8" fillId="3" fontId="7" numFmtId="0" xfId="0" applyAlignment="1" applyBorder="1" applyFill="1" applyFont="1">
      <alignment shrinkToFit="0" wrapText="0"/>
    </xf>
    <xf borderId="10" fillId="4" fontId="7" numFmtId="164" xfId="0" applyAlignment="1" applyBorder="1" applyFill="1" applyFont="1" applyNumberFormat="1">
      <alignment horizontal="right" shrinkToFit="0" wrapText="0"/>
    </xf>
    <xf borderId="11" fillId="4" fontId="7" numFmtId="0" xfId="0" applyAlignment="1" applyBorder="1" applyFill="1" applyFont="1">
      <alignment shrinkToFit="0" wrapText="0"/>
    </xf>
    <xf borderId="0" fillId="0" fontId="3" numFmtId="0" xfId="0" applyAlignment="1" applyFont="1">
      <alignment vertical="top"/>
    </xf>
    <xf borderId="3" fillId="4" fontId="7" numFmtId="4" xfId="0" applyAlignment="1" applyBorder="1" applyFill="1" applyFont="1" applyNumberFormat="1">
      <alignment horizontal="right" shrinkToFit="0" wrapText="0"/>
    </xf>
    <xf borderId="0" fillId="0" fontId="3" numFmtId="0" xfId="0" applyAlignment="1" applyFont="1">
      <alignment readingOrder="0" vertical="top"/>
    </xf>
    <xf borderId="0" fillId="0" fontId="3" numFmtId="164" xfId="0" applyAlignment="1" applyFont="1" applyNumberFormat="1">
      <alignment horizontal="right" vertical="bottom"/>
    </xf>
    <xf borderId="6" fillId="3" fontId="7" numFmtId="4" xfId="0" applyAlignment="1" applyBorder="1" applyFill="1" applyFont="1" applyNumberFormat="1">
      <alignment horizontal="right" shrinkToFit="0" wrapText="0"/>
    </xf>
    <xf borderId="7" fillId="3" fontId="7" numFmtId="0" xfId="0" applyAlignment="1" applyBorder="1" applyFill="1" applyFont="1">
      <alignment shrinkToFit="0" wrapText="0"/>
    </xf>
    <xf borderId="12" fillId="3" fontId="7" numFmtId="0" xfId="0" applyAlignment="1" applyBorder="1" applyFill="1" applyFont="1">
      <alignment shrinkToFit="0" wrapText="0"/>
    </xf>
    <xf borderId="12" fillId="3" fontId="8" numFmtId="0" xfId="0" applyBorder="1" applyFill="1" applyFont="1"/>
    <xf borderId="8" fillId="3" fontId="7" numFmtId="4" xfId="0" applyAlignment="1" applyBorder="1" applyFill="1" applyFont="1" applyNumberFormat="1">
      <alignment horizontal="right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9">
    <tableStyle count="2" pivot="0" name="res.partner-style">
      <tableStyleElement dxfId="1" type="firstRowStripe"/>
      <tableStyleElement dxfId="2" type="secondRowStripe"/>
    </tableStyle>
    <tableStyle count="2" pivot="0" name="res.partner-style 2">
      <tableStyleElement dxfId="1" type="firstRowStripe"/>
      <tableStyleElement dxfId="2" type="secondRowStripe"/>
    </tableStyle>
    <tableStyle count="4" pivot="0" name="crm.stage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crm.lost.reason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utm.source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utm.medium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utm.campaign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stock.location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ir.sequence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stock.picking.type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stock.route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stock.rule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product.product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product.supplierinfo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mrp.bom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4" pivot="0" name="mrp.bom.line-style">
      <tableStyleElement dxfId="2" type="headerRow"/>
      <tableStyleElement dxfId="1" type="firstRowStripe"/>
      <tableStyleElement dxfId="2" type="secondRowStripe"/>
      <tableStyleElement dxfId="3" size="0" type="wholeTable"/>
    </tableStyle>
    <tableStyle count="2" pivot="0" name="account.analytic.account-style">
      <tableStyleElement dxfId="1" type="firstRowStripe"/>
      <tableStyleElement dxfId="2" type="secondRowStripe"/>
    </tableStyle>
    <tableStyle count="2" pivot="0" name="budget.analytic-style">
      <tableStyleElement dxfId="1" type="firstRowStripe"/>
      <tableStyleElement dxfId="2" type="secondRowStripe"/>
    </tableStyle>
    <tableStyle count="2" pivot="0" name="budget.lin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C196" displayName="Table_1" name="Table_1" id="1">
  <tableColumns count="2">
    <tableColumn name="Column1" id="1"/>
    <tableColumn name="Column2" id="2"/>
  </tableColumns>
  <tableStyleInfo name="res.partner-style" showColumnStripes="0" showFirstColumn="1" showLastColumn="1" showRowStripes="1"/>
</table>
</file>

<file path=xl/tables/table2.xml><?xml version="1.0" encoding="utf-8"?>
<table xmlns="http://schemas.openxmlformats.org/spreadsheetml/2006/main" headerRowCount="0" ref="E2:K196" displayName="Table_5" name="Table_5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es.partner-style 2" showColumnStripes="0" showFirstColumn="1" showLastColumn="1" showRowStripes="1"/>
</table>
</file>

<file path=xl/tables/table3.xml><?xml version="1.0" encoding="utf-8"?>
<table xmlns="http://schemas.openxmlformats.org/spreadsheetml/2006/main" ref="A1:D6" displayName="Table2" name="Table2" id="3">
  <tableColumns count="4">
    <tableColumn name="id" id="1"/>
    <tableColumn name="name" id="2"/>
    <tableColumn name="sequence" id="3"/>
    <tableColumn name="is_won" id="4"/>
  </tableColumns>
  <tableStyleInfo name="crm.stage-style" showColumnStripes="0" showFirstColumn="1" showLastColumn="1" showRowStripes="1"/>
</table>
</file>

<file path=xl/tables/table4.xml><?xml version="1.0" encoding="utf-8"?>
<table xmlns="http://schemas.openxmlformats.org/spreadsheetml/2006/main" ref="A1:B5" displayName="Table3" name="Table3" id="4">
  <tableColumns count="2">
    <tableColumn name="id" id="1"/>
    <tableColumn name="name" id="2"/>
  </tableColumns>
  <tableStyleInfo name="crm.lost.reason-style" showColumnStripes="0" showFirstColumn="1" showLastColumn="1" showRowStripes="1"/>
</table>
</file>

<file path=xl/tables/table5.xml><?xml version="1.0" encoding="utf-8"?>
<table xmlns="http://schemas.openxmlformats.org/spreadsheetml/2006/main" ref="A1:B5" displayName="Table3_2" name="Table3_2" id="5">
  <tableColumns count="2">
    <tableColumn name="id" id="1"/>
    <tableColumn name="name" id="2"/>
  </tableColumns>
  <tableStyleInfo name="utm.source-style" showColumnStripes="0" showFirstColumn="1" showLastColumn="1" showRowStripes="1"/>
</table>
</file>

<file path=xl/tables/table6.xml><?xml version="1.0" encoding="utf-8"?>
<table xmlns="http://schemas.openxmlformats.org/spreadsheetml/2006/main" ref="A1:B5" displayName="Table3_3" name="Table3_3" id="6">
  <tableColumns count="2">
    <tableColumn name="id" id="1"/>
    <tableColumn name="name" id="2"/>
  </tableColumns>
  <tableStyleInfo name="utm.medium-style" showColumnStripes="0" showFirstColumn="1" showLastColumn="1" showRowStripes="1"/>
</table>
</file>

<file path=xl/tables/table7.xml><?xml version="1.0" encoding="utf-8"?>
<table xmlns="http://schemas.openxmlformats.org/spreadsheetml/2006/main" ref="A1:B5" displayName="Table3_4" name="Table3_4" id="7">
  <tableColumns count="2">
    <tableColumn name="id" id="1"/>
    <tableColumn name="name" id="2"/>
  </tableColumns>
  <tableStyleInfo name="utm.campaign-style" showColumnStripes="0" showFirstColumn="1" showLastColumn="1" showRowStripes="1"/>
</table>
</file>

<file path=xl/tables/table8.xml><?xml version="1.0" encoding="utf-8"?>
<table xmlns="http://schemas.openxmlformats.org/spreadsheetml/2006/main" ref="A1:E6" displayName="Table4" name="Table4" id="8">
  <tableColumns count="5">
    <tableColumn name="id" id="1"/>
    <tableColumn name="name" id="2"/>
    <tableColumn name="usage" id="3"/>
    <tableColumn name="company_id/id" id="4"/>
    <tableColumn name="location_id/id" id="5"/>
  </tableColumns>
  <tableStyleInfo name="stock.location-style" showColumnStripes="0" showFirstColumn="1" showLastColumn="1" showRowStripes="1"/>
</table>
</file>

<file path=xl/tables/table9.xml><?xml version="1.0" encoding="utf-8"?>
<table xmlns="http://schemas.openxmlformats.org/spreadsheetml/2006/main" ref="A1:H13" displayName="Table5" name="Table5" id="9">
  <tableColumns count="8">
    <tableColumn name="id" id="1"/>
    <tableColumn name="name" id="2"/>
    <tableColumn name="code" id="3"/>
    <tableColumn name="prefix" id="4"/>
    <tableColumn name="padding" id="5"/>
    <tableColumn name="number_increment" id="6"/>
    <tableColumn name="implementation" id="7"/>
    <tableColumn name="company_id/id" id="8"/>
  </tableColumns>
  <tableStyleInfo name="ir.sequence-style" showColumnStripes="0" showFirstColumn="1" showLastColumn="1" showRowStripes="1"/>
</table>
</file>

<file path=xl/tables/table10.xml><?xml version="1.0" encoding="utf-8"?>
<table xmlns="http://schemas.openxmlformats.org/spreadsheetml/2006/main" ref="A1:K13" displayName="Table" name="Table" id="10">
  <tableColumns count="11">
    <tableColumn name="id" id="1"/>
    <tableColumn name="name" id="2"/>
    <tableColumn name="code" id="3"/>
    <tableColumn name="warehouse_id/id" id="4"/>
    <tableColumn name="company_id/id" id="5"/>
    <tableColumn name="default_location_src_id" id="6"/>
    <tableColumn name="default_location_dest_id" id="7"/>
    <tableColumn name="sequence_id/id" id="8"/>
    <tableColumn name="reservation_method" id="9"/>
    <tableColumn name="create_backorder" id="10"/>
    <tableColumn name="move_type" id="11"/>
  </tableColumns>
  <tableStyleInfo name="stock.picking.type-style" showColumnStripes="0" showFirstColumn="1" showLastColumn="1" showRowStripes="1"/>
</table>
</file>

<file path=xl/tables/table11.xml><?xml version="1.0" encoding="utf-8"?>
<table xmlns="http://schemas.openxmlformats.org/spreadsheetml/2006/main" ref="A1:E7" displayName="Table_2" name="Table_2" id="11">
  <tableColumns count="5">
    <tableColumn name="id" id="1"/>
    <tableColumn name="name" id="2"/>
    <tableColumn name="sequence" id="3"/>
    <tableColumn name="product_selectable" id="4"/>
    <tableColumn name="company_id/id" id="5"/>
  </tableColumns>
  <tableStyleInfo name="stock.route-style" showColumnStripes="0" showFirstColumn="1" showLastColumn="1" showRowStripes="1"/>
</table>
</file>

<file path=xl/tables/table12.xml><?xml version="1.0" encoding="utf-8"?>
<table xmlns="http://schemas.openxmlformats.org/spreadsheetml/2006/main" ref="A1:N13" displayName="Table_3" name="Table_3" id="12">
  <tableColumns count="14">
    <tableColumn name="id" id="1"/>
    <tableColumn name="name" id="2"/>
    <tableColumn name="action" id="3"/>
    <tableColumn name="route_id/id" id="4"/>
    <tableColumn name="location_src_id" id="5"/>
    <tableColumn name="location_dest_id" id="6"/>
    <tableColumn name="picking_type_id/id" id="7"/>
    <tableColumn name="procure_method" id="8"/>
    <tableColumn name="location_dest_from_rule" id="9"/>
    <tableColumn name="propagate_cancel" id="10"/>
    <tableColumn name="warehouse_id/id" id="11"/>
    <tableColumn name="company_id/id" id="12"/>
    <tableColumn name="delay" id="13"/>
    <tableColumn name="auto" id="14"/>
  </tableColumns>
  <tableStyleInfo name="stock.rule-style" showColumnStripes="0" showFirstColumn="1" showLastColumn="1" showRowStripes="1"/>
</table>
</file>

<file path=xl/tables/table13.xml><?xml version="1.0" encoding="utf-8"?>
<table xmlns="http://schemas.openxmlformats.org/spreadsheetml/2006/main" ref="B1:P17" displayName="Table6" name="Table6" id="13">
  <tableColumns count="15">
    <tableColumn name="id" id="1"/>
    <tableColumn name="type" id="2"/>
    <tableColumn name="is_storable" id="3"/>
    <tableColumn name="default_code" id="4"/>
    <tableColumn name="name" id="5"/>
    <tableColumn name="purchase_ok" id="6"/>
    <tableColumn name="sale_ok" id="7"/>
    <tableColumn name="uom_id/id" id="8"/>
    <tableColumn name="standard_price" id="9"/>
    <tableColumn name="categ_id/id" id="10"/>
    <tableColumn name="list_price" id="11"/>
    <tableColumn name="company_id/id" id="12"/>
    <tableColumn name="invoice_policy" id="13"/>
    <tableColumn name="route_ids/id" id="14"/>
    <tableColumn name="purchase_method" id="15"/>
  </tableColumns>
  <tableStyleInfo name="product.product-style" showColumnStripes="0" showFirstColumn="1" showLastColumn="1" showRowStripes="1"/>
</table>
</file>

<file path=xl/tables/table14.xml><?xml version="1.0" encoding="utf-8"?>
<table xmlns="http://schemas.openxmlformats.org/spreadsheetml/2006/main" ref="A1:K37" displayName="Table_4" name="Table_4" id="14">
  <tableColumns count="11">
    <tableColumn name="id" id="1"/>
    <tableColumn name="partner_id/id" id="2"/>
    <tableColumn name="product_tmpl_id" id="3"/>
    <tableColumn name="product_id/id" id="4"/>
    <tableColumn name="sequence" id="5"/>
    <tableColumn name="min_qty" id="6"/>
    <tableColumn name="price" id="7"/>
    <tableColumn name="currency_id/id" id="8"/>
    <tableColumn name="delay" id="9"/>
    <tableColumn name="company_id/id" id="10"/>
    <tableColumn name="date_start" id="11"/>
  </tableColumns>
  <tableStyleInfo name="product.supplierinfo-style" showColumnStripes="0" showFirstColumn="1" showLastColumn="1" showRowStripes="1"/>
</table>
</file>

<file path=xl/tables/table15.xml><?xml version="1.0" encoding="utf-8"?>
<table xmlns="http://schemas.openxmlformats.org/spreadsheetml/2006/main" ref="A1:H5" displayName="Table7" name="Table7" id="15">
  <tableColumns count="8">
    <tableColumn name="id" id="1"/>
    <tableColumn name="product_tmpl_id" id="2"/>
    <tableColumn name="product_id/id" id="3"/>
    <tableColumn name="product_qty" id="4"/>
    <tableColumn name="type" id="5"/>
    <tableColumn name="company_id/id" id="6"/>
    <tableColumn name="uom_id/id" id="7"/>
    <tableColumn name="picking_type_id/id" id="8"/>
  </tableColumns>
  <tableStyleInfo name="mrp.bom-style" showColumnStripes="0" showFirstColumn="1" showLastColumn="1" showRowStripes="1"/>
</table>
</file>

<file path=xl/tables/table16.xml><?xml version="1.0" encoding="utf-8"?>
<table xmlns="http://schemas.openxmlformats.org/spreadsheetml/2006/main" ref="A1:E9" displayName="Table8" name="Table8" id="16">
  <tableColumns count="5">
    <tableColumn name="id" id="1"/>
    <tableColumn name="bom_id/id" id="2"/>
    <tableColumn name="product_id/id" id="3"/>
    <tableColumn name="product_qty" id="4"/>
    <tableColumn name="uom_id/id" id="5"/>
  </tableColumns>
  <tableStyleInfo name="mrp.bom.line-style" showColumnStripes="0" showFirstColumn="1" showLastColumn="1" showRowStripes="1"/>
</table>
</file>

<file path=xl/tables/table17.xml><?xml version="1.0" encoding="utf-8"?>
<table xmlns="http://schemas.openxmlformats.org/spreadsheetml/2006/main" headerRowCount="0" ref="A2:D5" displayName="Table_6" name="Table_6" id="17">
  <tableColumns count="4">
    <tableColumn name="Column1" id="1"/>
    <tableColumn name="Column2" id="2"/>
    <tableColumn name="Column3" id="3"/>
    <tableColumn name="Column4" id="4"/>
  </tableColumns>
  <tableStyleInfo name="account.analytic.account-style" showColumnStripes="0" showFirstColumn="1" showLastColumn="1" showRowStripes="1"/>
</table>
</file>

<file path=xl/tables/table18.xml><?xml version="1.0" encoding="utf-8"?>
<table xmlns="http://schemas.openxmlformats.org/spreadsheetml/2006/main" headerRowCount="0" ref="A2:E12" displayName="Table_7" name="Table_7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budget.analytic-style" showColumnStripes="0" showFirstColumn="1" showLastColumn="1" showRowStripes="1"/>
</table>
</file>

<file path=xl/tables/table19.xml><?xml version="1.0" encoding="utf-8"?>
<table xmlns="http://schemas.openxmlformats.org/spreadsheetml/2006/main" headerRowCount="0" ref="A2:E45" displayName="Table_8" name="Table_8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budget.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ase.b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base.uk" TargetMode="External"/><Relationship Id="rId42" Type="http://schemas.openxmlformats.org/officeDocument/2006/relationships/hyperlink" Target="http://base.us" TargetMode="External"/><Relationship Id="rId41" Type="http://schemas.openxmlformats.org/officeDocument/2006/relationships/hyperlink" Target="http://base.uk" TargetMode="External"/><Relationship Id="rId44" Type="http://schemas.openxmlformats.org/officeDocument/2006/relationships/hyperlink" Target="http://base.fr" TargetMode="External"/><Relationship Id="rId43" Type="http://schemas.openxmlformats.org/officeDocument/2006/relationships/hyperlink" Target="http://base.fr" TargetMode="External"/><Relationship Id="rId46" Type="http://schemas.openxmlformats.org/officeDocument/2006/relationships/hyperlink" Target="http://base.jp" TargetMode="External"/><Relationship Id="rId45" Type="http://schemas.openxmlformats.org/officeDocument/2006/relationships/hyperlink" Target="http://base.fr" TargetMode="External"/><Relationship Id="rId107" Type="http://schemas.openxmlformats.org/officeDocument/2006/relationships/hyperlink" Target="http://base.uk" TargetMode="External"/><Relationship Id="rId106" Type="http://schemas.openxmlformats.org/officeDocument/2006/relationships/hyperlink" Target="http://base.uk" TargetMode="External"/><Relationship Id="rId105" Type="http://schemas.openxmlformats.org/officeDocument/2006/relationships/hyperlink" Target="http://base.uk" TargetMode="External"/><Relationship Id="rId104" Type="http://schemas.openxmlformats.org/officeDocument/2006/relationships/hyperlink" Target="http://base.uk" TargetMode="External"/><Relationship Id="rId109" Type="http://schemas.openxmlformats.org/officeDocument/2006/relationships/hyperlink" Target="http://base.at" TargetMode="External"/><Relationship Id="rId108" Type="http://schemas.openxmlformats.org/officeDocument/2006/relationships/hyperlink" Target="http://base.al" TargetMode="External"/><Relationship Id="rId48" Type="http://schemas.openxmlformats.org/officeDocument/2006/relationships/hyperlink" Target="http://base.jp" TargetMode="External"/><Relationship Id="rId47" Type="http://schemas.openxmlformats.org/officeDocument/2006/relationships/hyperlink" Target="http://base.jp" TargetMode="External"/><Relationship Id="rId49" Type="http://schemas.openxmlformats.org/officeDocument/2006/relationships/hyperlink" Target="http://base.br" TargetMode="External"/><Relationship Id="rId103" Type="http://schemas.openxmlformats.org/officeDocument/2006/relationships/hyperlink" Target="http://base.uk" TargetMode="External"/><Relationship Id="rId102" Type="http://schemas.openxmlformats.org/officeDocument/2006/relationships/hyperlink" Target="http://base.uk" TargetMode="External"/><Relationship Id="rId101" Type="http://schemas.openxmlformats.org/officeDocument/2006/relationships/hyperlink" Target="http://base.uk" TargetMode="External"/><Relationship Id="rId100" Type="http://schemas.openxmlformats.org/officeDocument/2006/relationships/hyperlink" Target="http://base.uk" TargetMode="External"/><Relationship Id="rId31" Type="http://schemas.openxmlformats.org/officeDocument/2006/relationships/hyperlink" Target="http://base.uk" TargetMode="External"/><Relationship Id="rId30" Type="http://schemas.openxmlformats.org/officeDocument/2006/relationships/hyperlink" Target="http://base.uk" TargetMode="External"/><Relationship Id="rId33" Type="http://schemas.openxmlformats.org/officeDocument/2006/relationships/hyperlink" Target="http://base.uk" TargetMode="External"/><Relationship Id="rId32" Type="http://schemas.openxmlformats.org/officeDocument/2006/relationships/hyperlink" Target="http://base.uk" TargetMode="External"/><Relationship Id="rId35" Type="http://schemas.openxmlformats.org/officeDocument/2006/relationships/hyperlink" Target="http://base.us" TargetMode="External"/><Relationship Id="rId34" Type="http://schemas.openxmlformats.org/officeDocument/2006/relationships/hyperlink" Target="http://base.us" TargetMode="External"/><Relationship Id="rId180" Type="http://schemas.openxmlformats.org/officeDocument/2006/relationships/table" Target="../tables/table2.xml"/><Relationship Id="rId37" Type="http://schemas.openxmlformats.org/officeDocument/2006/relationships/hyperlink" Target="http://base.uk" TargetMode="External"/><Relationship Id="rId176" Type="http://schemas.openxmlformats.org/officeDocument/2006/relationships/drawing" Target="../drawings/drawing3.xml"/><Relationship Id="rId36" Type="http://schemas.openxmlformats.org/officeDocument/2006/relationships/hyperlink" Target="http://base.uk" TargetMode="External"/><Relationship Id="rId175" Type="http://schemas.openxmlformats.org/officeDocument/2006/relationships/hyperlink" Target="http://base.uk" TargetMode="External"/><Relationship Id="rId39" Type="http://schemas.openxmlformats.org/officeDocument/2006/relationships/hyperlink" Target="http://base.uk" TargetMode="External"/><Relationship Id="rId174" Type="http://schemas.openxmlformats.org/officeDocument/2006/relationships/hyperlink" Target="http://base.uk" TargetMode="External"/><Relationship Id="rId38" Type="http://schemas.openxmlformats.org/officeDocument/2006/relationships/hyperlink" Target="http://base.uk" TargetMode="External"/><Relationship Id="rId173" Type="http://schemas.openxmlformats.org/officeDocument/2006/relationships/hyperlink" Target="http://base.uk" TargetMode="External"/><Relationship Id="rId179" Type="http://schemas.openxmlformats.org/officeDocument/2006/relationships/table" Target="../tables/table1.xml"/><Relationship Id="rId20" Type="http://schemas.openxmlformats.org/officeDocument/2006/relationships/hyperlink" Target="http://base.ru" TargetMode="External"/><Relationship Id="rId22" Type="http://schemas.openxmlformats.org/officeDocument/2006/relationships/hyperlink" Target="http://base.uk" TargetMode="External"/><Relationship Id="rId21" Type="http://schemas.openxmlformats.org/officeDocument/2006/relationships/hyperlink" Target="http://base.uk" TargetMode="External"/><Relationship Id="rId24" Type="http://schemas.openxmlformats.org/officeDocument/2006/relationships/hyperlink" Target="http://base.uk" TargetMode="External"/><Relationship Id="rId23" Type="http://schemas.openxmlformats.org/officeDocument/2006/relationships/hyperlink" Target="http://base.uk" TargetMode="External"/><Relationship Id="rId129" Type="http://schemas.openxmlformats.org/officeDocument/2006/relationships/hyperlink" Target="http://base.fr" TargetMode="External"/><Relationship Id="rId128" Type="http://schemas.openxmlformats.org/officeDocument/2006/relationships/hyperlink" Target="http://base.fr" TargetMode="External"/><Relationship Id="rId127" Type="http://schemas.openxmlformats.org/officeDocument/2006/relationships/hyperlink" Target="http://base.uk" TargetMode="External"/><Relationship Id="rId126" Type="http://schemas.openxmlformats.org/officeDocument/2006/relationships/hyperlink" Target="http://base.bg" TargetMode="External"/><Relationship Id="rId26" Type="http://schemas.openxmlformats.org/officeDocument/2006/relationships/hyperlink" Target="http://base.uk" TargetMode="External"/><Relationship Id="rId121" Type="http://schemas.openxmlformats.org/officeDocument/2006/relationships/hyperlink" Target="http://base.fr" TargetMode="External"/><Relationship Id="rId25" Type="http://schemas.openxmlformats.org/officeDocument/2006/relationships/hyperlink" Target="http://base.uk" TargetMode="External"/><Relationship Id="rId120" Type="http://schemas.openxmlformats.org/officeDocument/2006/relationships/hyperlink" Target="http://base.fr" TargetMode="External"/><Relationship Id="rId28" Type="http://schemas.openxmlformats.org/officeDocument/2006/relationships/hyperlink" Target="http://base.uk" TargetMode="External"/><Relationship Id="rId27" Type="http://schemas.openxmlformats.org/officeDocument/2006/relationships/hyperlink" Target="http://base.uk" TargetMode="External"/><Relationship Id="rId125" Type="http://schemas.openxmlformats.org/officeDocument/2006/relationships/hyperlink" Target="http://base.bg" TargetMode="External"/><Relationship Id="rId29" Type="http://schemas.openxmlformats.org/officeDocument/2006/relationships/hyperlink" Target="http://base.uk" TargetMode="External"/><Relationship Id="rId124" Type="http://schemas.openxmlformats.org/officeDocument/2006/relationships/hyperlink" Target="http://base.fr" TargetMode="External"/><Relationship Id="rId123" Type="http://schemas.openxmlformats.org/officeDocument/2006/relationships/hyperlink" Target="http://base.bg" TargetMode="External"/><Relationship Id="rId122" Type="http://schemas.openxmlformats.org/officeDocument/2006/relationships/hyperlink" Target="http://base.uk" TargetMode="External"/><Relationship Id="rId95" Type="http://schemas.openxmlformats.org/officeDocument/2006/relationships/hyperlink" Target="http://base.uk" TargetMode="External"/><Relationship Id="rId94" Type="http://schemas.openxmlformats.org/officeDocument/2006/relationships/hyperlink" Target="http://base.uk" TargetMode="External"/><Relationship Id="rId97" Type="http://schemas.openxmlformats.org/officeDocument/2006/relationships/hyperlink" Target="http://base.uk" TargetMode="External"/><Relationship Id="rId96" Type="http://schemas.openxmlformats.org/officeDocument/2006/relationships/hyperlink" Target="http://base.uk" TargetMode="External"/><Relationship Id="rId11" Type="http://schemas.openxmlformats.org/officeDocument/2006/relationships/hyperlink" Target="http://base.bg" TargetMode="External"/><Relationship Id="rId99" Type="http://schemas.openxmlformats.org/officeDocument/2006/relationships/hyperlink" Target="http://base.uk" TargetMode="External"/><Relationship Id="rId10" Type="http://schemas.openxmlformats.org/officeDocument/2006/relationships/hyperlink" Target="http://base.uk" TargetMode="External"/><Relationship Id="rId98" Type="http://schemas.openxmlformats.org/officeDocument/2006/relationships/hyperlink" Target="http://base.uk" TargetMode="External"/><Relationship Id="rId13" Type="http://schemas.openxmlformats.org/officeDocument/2006/relationships/hyperlink" Target="http://base.us" TargetMode="External"/><Relationship Id="rId12" Type="http://schemas.openxmlformats.org/officeDocument/2006/relationships/hyperlink" Target="http://base.us" TargetMode="External"/><Relationship Id="rId91" Type="http://schemas.openxmlformats.org/officeDocument/2006/relationships/hyperlink" Target="http://base.uk" TargetMode="External"/><Relationship Id="rId90" Type="http://schemas.openxmlformats.org/officeDocument/2006/relationships/hyperlink" Target="http://base.uk" TargetMode="External"/><Relationship Id="rId93" Type="http://schemas.openxmlformats.org/officeDocument/2006/relationships/hyperlink" Target="http://base.uk" TargetMode="External"/><Relationship Id="rId92" Type="http://schemas.openxmlformats.org/officeDocument/2006/relationships/hyperlink" Target="http://base.uk" TargetMode="External"/><Relationship Id="rId118" Type="http://schemas.openxmlformats.org/officeDocument/2006/relationships/hyperlink" Target="http://base.fr" TargetMode="External"/><Relationship Id="rId117" Type="http://schemas.openxmlformats.org/officeDocument/2006/relationships/hyperlink" Target="http://base.us" TargetMode="External"/><Relationship Id="rId116" Type="http://schemas.openxmlformats.org/officeDocument/2006/relationships/hyperlink" Target="http://base.us" TargetMode="External"/><Relationship Id="rId115" Type="http://schemas.openxmlformats.org/officeDocument/2006/relationships/hyperlink" Target="http://base.us" TargetMode="External"/><Relationship Id="rId119" Type="http://schemas.openxmlformats.org/officeDocument/2006/relationships/hyperlink" Target="http://base.fr" TargetMode="External"/><Relationship Id="rId15" Type="http://schemas.openxmlformats.org/officeDocument/2006/relationships/hyperlink" Target="http://base.fr" TargetMode="External"/><Relationship Id="rId110" Type="http://schemas.openxmlformats.org/officeDocument/2006/relationships/hyperlink" Target="http://base.uk" TargetMode="External"/><Relationship Id="rId14" Type="http://schemas.openxmlformats.org/officeDocument/2006/relationships/hyperlink" Target="http://base.us" TargetMode="External"/><Relationship Id="rId17" Type="http://schemas.openxmlformats.org/officeDocument/2006/relationships/hyperlink" Target="http://base.jp" TargetMode="External"/><Relationship Id="rId16" Type="http://schemas.openxmlformats.org/officeDocument/2006/relationships/hyperlink" Target="http://base.bg" TargetMode="External"/><Relationship Id="rId19" Type="http://schemas.openxmlformats.org/officeDocument/2006/relationships/hyperlink" Target="http://base.br" TargetMode="External"/><Relationship Id="rId114" Type="http://schemas.openxmlformats.org/officeDocument/2006/relationships/hyperlink" Target="http://base.us" TargetMode="External"/><Relationship Id="rId18" Type="http://schemas.openxmlformats.org/officeDocument/2006/relationships/hyperlink" Target="http://base.ug" TargetMode="External"/><Relationship Id="rId113" Type="http://schemas.openxmlformats.org/officeDocument/2006/relationships/hyperlink" Target="http://base.us" TargetMode="External"/><Relationship Id="rId112" Type="http://schemas.openxmlformats.org/officeDocument/2006/relationships/hyperlink" Target="http://base.us" TargetMode="External"/><Relationship Id="rId111" Type="http://schemas.openxmlformats.org/officeDocument/2006/relationships/hyperlink" Target="http://base.uk" TargetMode="External"/><Relationship Id="rId84" Type="http://schemas.openxmlformats.org/officeDocument/2006/relationships/hyperlink" Target="http://base.gr" TargetMode="External"/><Relationship Id="rId83" Type="http://schemas.openxmlformats.org/officeDocument/2006/relationships/hyperlink" Target="http://base.pt" TargetMode="External"/><Relationship Id="rId86" Type="http://schemas.openxmlformats.org/officeDocument/2006/relationships/hyperlink" Target="http://base.uk" TargetMode="External"/><Relationship Id="rId85" Type="http://schemas.openxmlformats.org/officeDocument/2006/relationships/hyperlink" Target="http://base.tr" TargetMode="External"/><Relationship Id="rId88" Type="http://schemas.openxmlformats.org/officeDocument/2006/relationships/hyperlink" Target="http://base.uk" TargetMode="External"/><Relationship Id="rId150" Type="http://schemas.openxmlformats.org/officeDocument/2006/relationships/hyperlink" Target="http://base.uk" TargetMode="External"/><Relationship Id="rId87" Type="http://schemas.openxmlformats.org/officeDocument/2006/relationships/hyperlink" Target="http://base.uk" TargetMode="External"/><Relationship Id="rId89" Type="http://schemas.openxmlformats.org/officeDocument/2006/relationships/hyperlink" Target="http://base.uk" TargetMode="External"/><Relationship Id="rId80" Type="http://schemas.openxmlformats.org/officeDocument/2006/relationships/hyperlink" Target="http://base.it" TargetMode="External"/><Relationship Id="rId82" Type="http://schemas.openxmlformats.org/officeDocument/2006/relationships/hyperlink" Target="http://base.es" TargetMode="External"/><Relationship Id="rId81" Type="http://schemas.openxmlformats.org/officeDocument/2006/relationships/hyperlink" Target="http://base.es" TargetMode="External"/><Relationship Id="rId1" Type="http://schemas.openxmlformats.org/officeDocument/2006/relationships/hyperlink" Target="http://base.uk" TargetMode="External"/><Relationship Id="rId2" Type="http://schemas.openxmlformats.org/officeDocument/2006/relationships/hyperlink" Target="http://base.uk" TargetMode="External"/><Relationship Id="rId3" Type="http://schemas.openxmlformats.org/officeDocument/2006/relationships/hyperlink" Target="http://base.uk" TargetMode="External"/><Relationship Id="rId149" Type="http://schemas.openxmlformats.org/officeDocument/2006/relationships/hyperlink" Target="http://base.uk" TargetMode="External"/><Relationship Id="rId4" Type="http://schemas.openxmlformats.org/officeDocument/2006/relationships/hyperlink" Target="http://base.uk" TargetMode="External"/><Relationship Id="rId148" Type="http://schemas.openxmlformats.org/officeDocument/2006/relationships/hyperlink" Target="http://base.uk" TargetMode="External"/><Relationship Id="rId9" Type="http://schemas.openxmlformats.org/officeDocument/2006/relationships/hyperlink" Target="http://base.uk" TargetMode="External"/><Relationship Id="rId143" Type="http://schemas.openxmlformats.org/officeDocument/2006/relationships/hyperlink" Target="http://base.uk" TargetMode="External"/><Relationship Id="rId142" Type="http://schemas.openxmlformats.org/officeDocument/2006/relationships/hyperlink" Target="http://base.uk" TargetMode="External"/><Relationship Id="rId141" Type="http://schemas.openxmlformats.org/officeDocument/2006/relationships/hyperlink" Target="http://base.uk" TargetMode="External"/><Relationship Id="rId140" Type="http://schemas.openxmlformats.org/officeDocument/2006/relationships/hyperlink" Target="http://base.uk" TargetMode="External"/><Relationship Id="rId5" Type="http://schemas.openxmlformats.org/officeDocument/2006/relationships/hyperlink" Target="http://base.uk" TargetMode="External"/><Relationship Id="rId147" Type="http://schemas.openxmlformats.org/officeDocument/2006/relationships/hyperlink" Target="http://base.uk" TargetMode="External"/><Relationship Id="rId6" Type="http://schemas.openxmlformats.org/officeDocument/2006/relationships/hyperlink" Target="http://base.uk" TargetMode="External"/><Relationship Id="rId146" Type="http://schemas.openxmlformats.org/officeDocument/2006/relationships/hyperlink" Target="http://base.uk" TargetMode="External"/><Relationship Id="rId7" Type="http://schemas.openxmlformats.org/officeDocument/2006/relationships/hyperlink" Target="http://base.uk" TargetMode="External"/><Relationship Id="rId145" Type="http://schemas.openxmlformats.org/officeDocument/2006/relationships/hyperlink" Target="http://base.uk" TargetMode="External"/><Relationship Id="rId8" Type="http://schemas.openxmlformats.org/officeDocument/2006/relationships/hyperlink" Target="http://base.uk" TargetMode="External"/><Relationship Id="rId144" Type="http://schemas.openxmlformats.org/officeDocument/2006/relationships/hyperlink" Target="http://base.uk" TargetMode="External"/><Relationship Id="rId73" Type="http://schemas.openxmlformats.org/officeDocument/2006/relationships/hyperlink" Target="http://base.sg" TargetMode="External"/><Relationship Id="rId72" Type="http://schemas.openxmlformats.org/officeDocument/2006/relationships/hyperlink" Target="http://base.th" TargetMode="External"/><Relationship Id="rId75" Type="http://schemas.openxmlformats.org/officeDocument/2006/relationships/hyperlink" Target="http://base.se" TargetMode="External"/><Relationship Id="rId74" Type="http://schemas.openxmlformats.org/officeDocument/2006/relationships/hyperlink" Target="http://base.id" TargetMode="External"/><Relationship Id="rId77" Type="http://schemas.openxmlformats.org/officeDocument/2006/relationships/hyperlink" Target="http://base.dk" TargetMode="External"/><Relationship Id="rId76" Type="http://schemas.openxmlformats.org/officeDocument/2006/relationships/hyperlink" Target="http://base.no" TargetMode="External"/><Relationship Id="rId79" Type="http://schemas.openxmlformats.org/officeDocument/2006/relationships/hyperlink" Target="http://base.it" TargetMode="External"/><Relationship Id="rId78" Type="http://schemas.openxmlformats.org/officeDocument/2006/relationships/hyperlink" Target="http://base.fi" TargetMode="External"/><Relationship Id="rId71" Type="http://schemas.openxmlformats.org/officeDocument/2006/relationships/hyperlink" Target="http://base.kr" TargetMode="External"/><Relationship Id="rId70" Type="http://schemas.openxmlformats.org/officeDocument/2006/relationships/hyperlink" Target="http://base.mx" TargetMode="External"/><Relationship Id="rId139" Type="http://schemas.openxmlformats.org/officeDocument/2006/relationships/hyperlink" Target="http://base.uk" TargetMode="External"/><Relationship Id="rId138" Type="http://schemas.openxmlformats.org/officeDocument/2006/relationships/hyperlink" Target="http://base.uk" TargetMode="External"/><Relationship Id="rId137" Type="http://schemas.openxmlformats.org/officeDocument/2006/relationships/hyperlink" Target="http://base.uk" TargetMode="External"/><Relationship Id="rId132" Type="http://schemas.openxmlformats.org/officeDocument/2006/relationships/hyperlink" Target="http://base.uk" TargetMode="External"/><Relationship Id="rId131" Type="http://schemas.openxmlformats.org/officeDocument/2006/relationships/hyperlink" Target="http://base.uk" TargetMode="External"/><Relationship Id="rId130" Type="http://schemas.openxmlformats.org/officeDocument/2006/relationships/hyperlink" Target="http://base.fr" TargetMode="External"/><Relationship Id="rId136" Type="http://schemas.openxmlformats.org/officeDocument/2006/relationships/hyperlink" Target="http://base.uk" TargetMode="External"/><Relationship Id="rId135" Type="http://schemas.openxmlformats.org/officeDocument/2006/relationships/hyperlink" Target="http://base.uk" TargetMode="External"/><Relationship Id="rId134" Type="http://schemas.openxmlformats.org/officeDocument/2006/relationships/hyperlink" Target="http://base.uk" TargetMode="External"/><Relationship Id="rId133" Type="http://schemas.openxmlformats.org/officeDocument/2006/relationships/hyperlink" Target="http://base.uk" TargetMode="External"/><Relationship Id="rId62" Type="http://schemas.openxmlformats.org/officeDocument/2006/relationships/hyperlink" Target="http://base.ca" TargetMode="External"/><Relationship Id="rId61" Type="http://schemas.openxmlformats.org/officeDocument/2006/relationships/hyperlink" Target="http://base.ca" TargetMode="External"/><Relationship Id="rId64" Type="http://schemas.openxmlformats.org/officeDocument/2006/relationships/hyperlink" Target="http://base.au" TargetMode="External"/><Relationship Id="rId63" Type="http://schemas.openxmlformats.org/officeDocument/2006/relationships/hyperlink" Target="http://base.au" TargetMode="External"/><Relationship Id="rId66" Type="http://schemas.openxmlformats.org/officeDocument/2006/relationships/hyperlink" Target="http://base.eg" TargetMode="External"/><Relationship Id="rId172" Type="http://schemas.openxmlformats.org/officeDocument/2006/relationships/hyperlink" Target="http://base.uk" TargetMode="External"/><Relationship Id="rId65" Type="http://schemas.openxmlformats.org/officeDocument/2006/relationships/hyperlink" Target="http://base.za" TargetMode="External"/><Relationship Id="rId171" Type="http://schemas.openxmlformats.org/officeDocument/2006/relationships/hyperlink" Target="http://base.uk" TargetMode="External"/><Relationship Id="rId68" Type="http://schemas.openxmlformats.org/officeDocument/2006/relationships/hyperlink" Target="http://base.ar" TargetMode="External"/><Relationship Id="rId170" Type="http://schemas.openxmlformats.org/officeDocument/2006/relationships/hyperlink" Target="http://base.uk" TargetMode="External"/><Relationship Id="rId67" Type="http://schemas.openxmlformats.org/officeDocument/2006/relationships/hyperlink" Target="http://base.eg" TargetMode="External"/><Relationship Id="rId60" Type="http://schemas.openxmlformats.org/officeDocument/2006/relationships/hyperlink" Target="http://base.bg" TargetMode="External"/><Relationship Id="rId165" Type="http://schemas.openxmlformats.org/officeDocument/2006/relationships/hyperlink" Target="http://base.uk" TargetMode="External"/><Relationship Id="rId69" Type="http://schemas.openxmlformats.org/officeDocument/2006/relationships/hyperlink" Target="http://base.pe" TargetMode="External"/><Relationship Id="rId164" Type="http://schemas.openxmlformats.org/officeDocument/2006/relationships/hyperlink" Target="http://base.uk" TargetMode="External"/><Relationship Id="rId163" Type="http://schemas.openxmlformats.org/officeDocument/2006/relationships/hyperlink" Target="http://base.uk" TargetMode="External"/><Relationship Id="rId162" Type="http://schemas.openxmlformats.org/officeDocument/2006/relationships/hyperlink" Target="http://base.uk" TargetMode="External"/><Relationship Id="rId169" Type="http://schemas.openxmlformats.org/officeDocument/2006/relationships/hyperlink" Target="http://base.uk" TargetMode="External"/><Relationship Id="rId168" Type="http://schemas.openxmlformats.org/officeDocument/2006/relationships/hyperlink" Target="http://base.uk" TargetMode="External"/><Relationship Id="rId167" Type="http://schemas.openxmlformats.org/officeDocument/2006/relationships/hyperlink" Target="http://base.uk" TargetMode="External"/><Relationship Id="rId166" Type="http://schemas.openxmlformats.org/officeDocument/2006/relationships/hyperlink" Target="http://base.uk" TargetMode="External"/><Relationship Id="rId51" Type="http://schemas.openxmlformats.org/officeDocument/2006/relationships/hyperlink" Target="http://base.br" TargetMode="External"/><Relationship Id="rId50" Type="http://schemas.openxmlformats.org/officeDocument/2006/relationships/hyperlink" Target="http://base.br" TargetMode="External"/><Relationship Id="rId53" Type="http://schemas.openxmlformats.org/officeDocument/2006/relationships/hyperlink" Target="http://base.cn" TargetMode="External"/><Relationship Id="rId52" Type="http://schemas.openxmlformats.org/officeDocument/2006/relationships/hyperlink" Target="http://base.cn" TargetMode="External"/><Relationship Id="rId55" Type="http://schemas.openxmlformats.org/officeDocument/2006/relationships/hyperlink" Target="http://base.in" TargetMode="External"/><Relationship Id="rId161" Type="http://schemas.openxmlformats.org/officeDocument/2006/relationships/hyperlink" Target="http://base.uk" TargetMode="External"/><Relationship Id="rId54" Type="http://schemas.openxmlformats.org/officeDocument/2006/relationships/hyperlink" Target="http://base.in" TargetMode="External"/><Relationship Id="rId160" Type="http://schemas.openxmlformats.org/officeDocument/2006/relationships/hyperlink" Target="http://base.uk" TargetMode="External"/><Relationship Id="rId57" Type="http://schemas.openxmlformats.org/officeDocument/2006/relationships/hyperlink" Target="http://base.de" TargetMode="External"/><Relationship Id="rId56" Type="http://schemas.openxmlformats.org/officeDocument/2006/relationships/hyperlink" Target="http://base.de" TargetMode="External"/><Relationship Id="rId159" Type="http://schemas.openxmlformats.org/officeDocument/2006/relationships/hyperlink" Target="http://base.uk" TargetMode="External"/><Relationship Id="rId59" Type="http://schemas.openxmlformats.org/officeDocument/2006/relationships/hyperlink" Target="http://base.bg" TargetMode="External"/><Relationship Id="rId154" Type="http://schemas.openxmlformats.org/officeDocument/2006/relationships/hyperlink" Target="http://base.uk" TargetMode="External"/><Relationship Id="rId58" Type="http://schemas.openxmlformats.org/officeDocument/2006/relationships/hyperlink" Target="http://base.de" TargetMode="External"/><Relationship Id="rId153" Type="http://schemas.openxmlformats.org/officeDocument/2006/relationships/hyperlink" Target="http://base.uk" TargetMode="External"/><Relationship Id="rId152" Type="http://schemas.openxmlformats.org/officeDocument/2006/relationships/hyperlink" Target="http://base.uk" TargetMode="External"/><Relationship Id="rId151" Type="http://schemas.openxmlformats.org/officeDocument/2006/relationships/hyperlink" Target="http://base.uk" TargetMode="External"/><Relationship Id="rId158" Type="http://schemas.openxmlformats.org/officeDocument/2006/relationships/hyperlink" Target="http://base.uk" TargetMode="External"/><Relationship Id="rId157" Type="http://schemas.openxmlformats.org/officeDocument/2006/relationships/hyperlink" Target="http://base.uk" TargetMode="External"/><Relationship Id="rId156" Type="http://schemas.openxmlformats.org/officeDocument/2006/relationships/hyperlink" Target="http://base.uk" TargetMode="External"/><Relationship Id="rId155" Type="http://schemas.openxmlformats.org/officeDocument/2006/relationships/hyperlink" Target="http://base.i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8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9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3.63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5</v>
      </c>
      <c r="B2" s="1" t="s">
        <v>7</v>
      </c>
      <c r="C2" s="9" t="s">
        <v>8</v>
      </c>
      <c r="D2" s="1" t="s">
        <v>15</v>
      </c>
    </row>
    <row r="3">
      <c r="C3" s="11"/>
    </row>
    <row r="4">
      <c r="C4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4</v>
      </c>
      <c r="B2" s="3" t="s">
        <v>6</v>
      </c>
    </row>
    <row r="3">
      <c r="A3" s="1" t="s">
        <v>9</v>
      </c>
      <c r="B3" s="3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17.25"/>
    <col customWidth="1" min="4" max="4" width="25.75"/>
    <col customWidth="1" min="6" max="6" width="17.75"/>
  </cols>
  <sheetData>
    <row r="1">
      <c r="A1" s="2" t="s">
        <v>1</v>
      </c>
      <c r="B1" s="2" t="s">
        <v>0</v>
      </c>
      <c r="C1" s="5" t="s">
        <v>2</v>
      </c>
      <c r="D1" s="2" t="s">
        <v>1</v>
      </c>
      <c r="E1" s="13" t="s">
        <v>66</v>
      </c>
      <c r="F1" s="13" t="s">
        <v>67</v>
      </c>
      <c r="G1" s="13" t="s">
        <v>68</v>
      </c>
      <c r="H1" s="13" t="s">
        <v>3</v>
      </c>
      <c r="I1" s="13" t="s">
        <v>69</v>
      </c>
      <c r="J1" s="13" t="s">
        <v>70</v>
      </c>
      <c r="K1" s="1" t="s">
        <v>71</v>
      </c>
    </row>
    <row r="2">
      <c r="A2" s="14">
        <v>1.0</v>
      </c>
      <c r="B2" s="15" t="s">
        <v>16</v>
      </c>
      <c r="C2" s="16" t="s">
        <v>14</v>
      </c>
      <c r="D2" s="5" t="str">
        <f t="shared" ref="D2:D196" si="1">B2</f>
        <v>partner_mgr_gryff</v>
      </c>
      <c r="E2" s="17" t="b">
        <v>0</v>
      </c>
      <c r="F2" s="18"/>
      <c r="G2" s="18"/>
      <c r="H2" s="18"/>
      <c r="I2" s="19">
        <v>0.0</v>
      </c>
      <c r="J2" s="19">
        <v>0.0</v>
      </c>
      <c r="K2" s="20"/>
      <c r="L2" s="21">
        <f t="shared" ref="L2:L192" si="2">A2</f>
        <v>1</v>
      </c>
      <c r="M2" s="21" t="str">
        <f t="array" ref="M2">unique(N:N)</f>
        <v/>
      </c>
    </row>
    <row r="3">
      <c r="A3" s="14">
        <v>2.0</v>
      </c>
      <c r="B3" s="22" t="s">
        <v>19</v>
      </c>
      <c r="C3" s="23" t="s">
        <v>18</v>
      </c>
      <c r="D3" s="5" t="str">
        <f t="shared" si="1"/>
        <v>partner_mgr_huff</v>
      </c>
      <c r="E3" s="24" t="b">
        <v>0</v>
      </c>
      <c r="F3" s="25"/>
      <c r="G3" s="25"/>
      <c r="H3" s="25"/>
      <c r="I3" s="26">
        <v>0.0</v>
      </c>
      <c r="J3" s="26">
        <v>0.0</v>
      </c>
      <c r="K3" s="27"/>
      <c r="L3" s="21">
        <f t="shared" si="2"/>
        <v>2</v>
      </c>
    </row>
    <row r="4">
      <c r="A4" s="14">
        <v>3.0</v>
      </c>
      <c r="B4" s="15" t="s">
        <v>22</v>
      </c>
      <c r="C4" s="16" t="s">
        <v>21</v>
      </c>
      <c r="D4" s="5" t="str">
        <f t="shared" si="1"/>
        <v>partner_mgr_rav</v>
      </c>
      <c r="E4" s="17" t="b">
        <v>0</v>
      </c>
      <c r="F4" s="18"/>
      <c r="G4" s="18"/>
      <c r="H4" s="18"/>
      <c r="I4" s="19">
        <v>0.0</v>
      </c>
      <c r="J4" s="19">
        <v>0.0</v>
      </c>
      <c r="K4" s="20"/>
      <c r="L4" s="21">
        <f t="shared" si="2"/>
        <v>3</v>
      </c>
    </row>
    <row r="5">
      <c r="A5" s="14">
        <v>4.0</v>
      </c>
      <c r="B5" s="22" t="s">
        <v>25</v>
      </c>
      <c r="C5" s="23" t="s">
        <v>24</v>
      </c>
      <c r="D5" s="5" t="str">
        <f t="shared" si="1"/>
        <v>partner_mgr_slyth</v>
      </c>
      <c r="E5" s="24" t="b">
        <v>0</v>
      </c>
      <c r="F5" s="25"/>
      <c r="G5" s="25"/>
      <c r="H5" s="25"/>
      <c r="I5" s="26">
        <v>0.0</v>
      </c>
      <c r="J5" s="26">
        <v>0.0</v>
      </c>
      <c r="K5" s="27"/>
      <c r="L5" s="21">
        <f t="shared" si="2"/>
        <v>4</v>
      </c>
    </row>
    <row r="6">
      <c r="A6" s="14">
        <v>5.0</v>
      </c>
      <c r="B6" s="15" t="s">
        <v>28</v>
      </c>
      <c r="C6" s="16" t="s">
        <v>27</v>
      </c>
      <c r="D6" s="5" t="str">
        <f t="shared" si="1"/>
        <v>partner_g_1</v>
      </c>
      <c r="E6" s="17" t="b">
        <v>0</v>
      </c>
      <c r="F6" s="18"/>
      <c r="G6" s="18"/>
      <c r="H6" s="18"/>
      <c r="I6" s="19">
        <v>0.0</v>
      </c>
      <c r="J6" s="19">
        <v>0.0</v>
      </c>
      <c r="K6" s="20"/>
      <c r="L6" s="21">
        <f t="shared" si="2"/>
        <v>5</v>
      </c>
    </row>
    <row r="7">
      <c r="A7" s="14">
        <v>6.0</v>
      </c>
      <c r="B7" s="22" t="s">
        <v>32</v>
      </c>
      <c r="C7" s="23" t="s">
        <v>31</v>
      </c>
      <c r="D7" s="5" t="str">
        <f t="shared" si="1"/>
        <v>partner_g_2</v>
      </c>
      <c r="E7" s="24" t="b">
        <v>0</v>
      </c>
      <c r="F7" s="25"/>
      <c r="G7" s="25"/>
      <c r="H7" s="25"/>
      <c r="I7" s="26">
        <v>0.0</v>
      </c>
      <c r="J7" s="26">
        <v>0.0</v>
      </c>
      <c r="K7" s="27"/>
      <c r="L7" s="21">
        <f t="shared" si="2"/>
        <v>6</v>
      </c>
    </row>
    <row r="8">
      <c r="A8" s="14">
        <v>7.0</v>
      </c>
      <c r="B8" s="15" t="s">
        <v>35</v>
      </c>
      <c r="C8" s="16" t="s">
        <v>34</v>
      </c>
      <c r="D8" s="5" t="str">
        <f t="shared" si="1"/>
        <v>partner_g_3</v>
      </c>
      <c r="E8" s="17" t="b">
        <v>0</v>
      </c>
      <c r="F8" s="18"/>
      <c r="G8" s="18"/>
      <c r="H8" s="18"/>
      <c r="I8" s="19">
        <v>0.0</v>
      </c>
      <c r="J8" s="19">
        <v>0.0</v>
      </c>
      <c r="K8" s="20"/>
      <c r="L8" s="21">
        <f t="shared" si="2"/>
        <v>7</v>
      </c>
    </row>
    <row r="9">
      <c r="A9" s="14">
        <v>8.0</v>
      </c>
      <c r="B9" s="22" t="s">
        <v>38</v>
      </c>
      <c r="C9" s="23" t="s">
        <v>37</v>
      </c>
      <c r="D9" s="5" t="str">
        <f t="shared" si="1"/>
        <v>partner_h_1</v>
      </c>
      <c r="E9" s="24" t="b">
        <v>0</v>
      </c>
      <c r="F9" s="25"/>
      <c r="G9" s="25"/>
      <c r="H9" s="25"/>
      <c r="I9" s="26">
        <v>0.0</v>
      </c>
      <c r="J9" s="26">
        <v>0.0</v>
      </c>
      <c r="K9" s="27"/>
      <c r="L9" s="21">
        <f t="shared" si="2"/>
        <v>8</v>
      </c>
    </row>
    <row r="10">
      <c r="A10" s="14">
        <v>9.0</v>
      </c>
      <c r="B10" s="15" t="s">
        <v>42</v>
      </c>
      <c r="C10" s="16" t="s">
        <v>41</v>
      </c>
      <c r="D10" s="5" t="str">
        <f t="shared" si="1"/>
        <v>partner_h_2</v>
      </c>
      <c r="E10" s="17" t="b">
        <v>0</v>
      </c>
      <c r="F10" s="18"/>
      <c r="G10" s="18"/>
      <c r="H10" s="18"/>
      <c r="I10" s="19">
        <v>0.0</v>
      </c>
      <c r="J10" s="19">
        <v>0.0</v>
      </c>
      <c r="K10" s="20"/>
      <c r="L10" s="21">
        <f t="shared" si="2"/>
        <v>9</v>
      </c>
    </row>
    <row r="11">
      <c r="A11" s="14">
        <v>10.0</v>
      </c>
      <c r="B11" s="22" t="s">
        <v>45</v>
      </c>
      <c r="C11" s="23" t="s">
        <v>44</v>
      </c>
      <c r="D11" s="5" t="str">
        <f t="shared" si="1"/>
        <v>partner_h_3</v>
      </c>
      <c r="E11" s="24" t="b">
        <v>0</v>
      </c>
      <c r="F11" s="25"/>
      <c r="G11" s="25"/>
      <c r="H11" s="25"/>
      <c r="I11" s="26">
        <v>0.0</v>
      </c>
      <c r="J11" s="26">
        <v>0.0</v>
      </c>
      <c r="K11" s="27"/>
      <c r="L11" s="21">
        <f t="shared" si="2"/>
        <v>10</v>
      </c>
    </row>
    <row r="12">
      <c r="A12" s="14">
        <v>11.0</v>
      </c>
      <c r="B12" s="15" t="s">
        <v>48</v>
      </c>
      <c r="C12" s="16" t="s">
        <v>47</v>
      </c>
      <c r="D12" s="5" t="str">
        <f t="shared" si="1"/>
        <v>partner_r_1</v>
      </c>
      <c r="E12" s="17" t="b">
        <v>0</v>
      </c>
      <c r="F12" s="29"/>
      <c r="G12" s="29"/>
      <c r="H12" s="18"/>
      <c r="I12" s="19">
        <v>0.0</v>
      </c>
      <c r="J12" s="19">
        <v>0.0</v>
      </c>
      <c r="K12" s="20"/>
      <c r="L12" s="21">
        <f t="shared" si="2"/>
        <v>11</v>
      </c>
    </row>
    <row r="13">
      <c r="A13" s="30">
        <v>12.0</v>
      </c>
      <c r="B13" s="22" t="s">
        <v>52</v>
      </c>
      <c r="C13" s="23" t="s">
        <v>51</v>
      </c>
      <c r="D13" s="31" t="str">
        <f t="shared" si="1"/>
        <v>partner_r_2</v>
      </c>
      <c r="E13" s="24" t="b">
        <v>0</v>
      </c>
      <c r="F13" s="25"/>
      <c r="G13" s="25"/>
      <c r="H13" s="32"/>
      <c r="I13" s="26">
        <v>0.0</v>
      </c>
      <c r="J13" s="26">
        <v>0.0</v>
      </c>
      <c r="K13" s="27"/>
      <c r="L13" s="21">
        <f t="shared" si="2"/>
        <v>12</v>
      </c>
    </row>
    <row r="14">
      <c r="A14" s="14">
        <v>13.0</v>
      </c>
      <c r="B14" s="15" t="s">
        <v>55</v>
      </c>
      <c r="C14" s="16" t="s">
        <v>54</v>
      </c>
      <c r="D14" s="5" t="str">
        <f t="shared" si="1"/>
        <v>partner_r_3</v>
      </c>
      <c r="E14" s="17" t="b">
        <v>0</v>
      </c>
      <c r="F14" s="29"/>
      <c r="G14" s="29"/>
      <c r="H14" s="29"/>
      <c r="I14" s="19">
        <v>0.0</v>
      </c>
      <c r="J14" s="19">
        <v>0.0</v>
      </c>
      <c r="K14" s="20"/>
      <c r="L14" s="21">
        <f t="shared" si="2"/>
        <v>13</v>
      </c>
    </row>
    <row r="15">
      <c r="A15" s="30">
        <v>14.0</v>
      </c>
      <c r="B15" s="22" t="s">
        <v>58</v>
      </c>
      <c r="C15" s="23" t="s">
        <v>57</v>
      </c>
      <c r="D15" s="5" t="str">
        <f t="shared" si="1"/>
        <v>partner_s_1</v>
      </c>
      <c r="E15" s="24" t="b">
        <v>0</v>
      </c>
      <c r="F15" s="32"/>
      <c r="G15" s="32"/>
      <c r="H15" s="32"/>
      <c r="I15" s="26">
        <v>0.0</v>
      </c>
      <c r="J15" s="26">
        <v>0.0</v>
      </c>
      <c r="K15" s="27"/>
      <c r="L15" s="21">
        <f t="shared" si="2"/>
        <v>14</v>
      </c>
    </row>
    <row r="16">
      <c r="A16" s="14">
        <v>15.0</v>
      </c>
      <c r="B16" s="15" t="s">
        <v>62</v>
      </c>
      <c r="C16" s="16" t="s">
        <v>61</v>
      </c>
      <c r="D16" s="5" t="str">
        <f t="shared" si="1"/>
        <v>partner_s_2</v>
      </c>
      <c r="E16" s="17" t="b">
        <v>0</v>
      </c>
      <c r="F16" s="29"/>
      <c r="G16" s="29"/>
      <c r="H16" s="29"/>
      <c r="I16" s="19">
        <v>0.0</v>
      </c>
      <c r="J16" s="19">
        <v>0.0</v>
      </c>
      <c r="K16" s="20"/>
      <c r="L16" s="21">
        <f t="shared" si="2"/>
        <v>15</v>
      </c>
    </row>
    <row r="17">
      <c r="A17" s="30">
        <v>16.0</v>
      </c>
      <c r="B17" s="22" t="s">
        <v>65</v>
      </c>
      <c r="C17" s="23" t="s">
        <v>64</v>
      </c>
      <c r="D17" s="5" t="str">
        <f t="shared" si="1"/>
        <v>partner_s_3</v>
      </c>
      <c r="E17" s="24" t="b">
        <v>0</v>
      </c>
      <c r="F17" s="32"/>
      <c r="G17" s="32"/>
      <c r="H17" s="32"/>
      <c r="I17" s="26">
        <v>0.0</v>
      </c>
      <c r="J17" s="26">
        <v>0.0</v>
      </c>
      <c r="K17" s="27"/>
      <c r="L17" s="21">
        <f t="shared" si="2"/>
        <v>16</v>
      </c>
    </row>
    <row r="18">
      <c r="A18" s="14">
        <v>17.0</v>
      </c>
      <c r="B18" s="15" t="s">
        <v>80</v>
      </c>
      <c r="C18" s="16" t="s">
        <v>81</v>
      </c>
      <c r="D18" s="5" t="str">
        <f t="shared" si="1"/>
        <v>supp_01</v>
      </c>
      <c r="E18" s="33" t="b">
        <v>1</v>
      </c>
      <c r="F18" s="16" t="s">
        <v>82</v>
      </c>
      <c r="G18" s="16" t="s">
        <v>83</v>
      </c>
      <c r="H18" s="34" t="s">
        <v>84</v>
      </c>
      <c r="I18" s="19">
        <v>1.0</v>
      </c>
      <c r="J18" s="19">
        <v>0.0</v>
      </c>
      <c r="K18" s="35" t="s">
        <v>4</v>
      </c>
      <c r="L18" s="21">
        <f t="shared" si="2"/>
        <v>17</v>
      </c>
    </row>
    <row r="19">
      <c r="A19" s="30">
        <v>18.0</v>
      </c>
      <c r="B19" s="22" t="s">
        <v>85</v>
      </c>
      <c r="C19" s="23" t="s">
        <v>86</v>
      </c>
      <c r="D19" s="5" t="str">
        <f t="shared" si="1"/>
        <v>supp_02</v>
      </c>
      <c r="E19" s="36" t="b">
        <v>1</v>
      </c>
      <c r="F19" s="23" t="s">
        <v>82</v>
      </c>
      <c r="G19" s="23" t="s">
        <v>83</v>
      </c>
      <c r="H19" s="37" t="s">
        <v>84</v>
      </c>
      <c r="I19" s="26">
        <v>1.0</v>
      </c>
      <c r="J19" s="26">
        <v>0.0</v>
      </c>
      <c r="K19" s="38" t="s">
        <v>4</v>
      </c>
      <c r="L19" s="21">
        <f t="shared" si="2"/>
        <v>18</v>
      </c>
    </row>
    <row r="20">
      <c r="A20" s="14">
        <v>19.0</v>
      </c>
      <c r="B20" s="15" t="s">
        <v>87</v>
      </c>
      <c r="C20" s="16" t="s">
        <v>88</v>
      </c>
      <c r="D20" s="5" t="str">
        <f t="shared" si="1"/>
        <v>supp_03</v>
      </c>
      <c r="E20" s="33" t="b">
        <v>1</v>
      </c>
      <c r="F20" s="16" t="s">
        <v>89</v>
      </c>
      <c r="G20" s="16" t="s">
        <v>83</v>
      </c>
      <c r="H20" s="34" t="s">
        <v>84</v>
      </c>
      <c r="I20" s="19">
        <v>1.0</v>
      </c>
      <c r="J20" s="19">
        <v>0.0</v>
      </c>
      <c r="K20" s="35" t="s">
        <v>4</v>
      </c>
      <c r="L20" s="21">
        <f t="shared" si="2"/>
        <v>19</v>
      </c>
    </row>
    <row r="21">
      <c r="A21" s="30">
        <v>20.0</v>
      </c>
      <c r="B21" s="22" t="s">
        <v>90</v>
      </c>
      <c r="C21" s="23" t="s">
        <v>91</v>
      </c>
      <c r="D21" s="5" t="str">
        <f t="shared" si="1"/>
        <v>supp_04</v>
      </c>
      <c r="E21" s="36" t="b">
        <v>1</v>
      </c>
      <c r="F21" s="23" t="s">
        <v>82</v>
      </c>
      <c r="G21" s="23" t="s">
        <v>83</v>
      </c>
      <c r="H21" s="37" t="s">
        <v>84</v>
      </c>
      <c r="I21" s="26">
        <v>1.0</v>
      </c>
      <c r="J21" s="26">
        <v>0.0</v>
      </c>
      <c r="K21" s="38" t="s">
        <v>9</v>
      </c>
      <c r="L21" s="21">
        <f t="shared" si="2"/>
        <v>20</v>
      </c>
    </row>
    <row r="22">
      <c r="A22" s="14">
        <v>21.0</v>
      </c>
      <c r="B22" s="15" t="s">
        <v>95</v>
      </c>
      <c r="C22" s="16" t="s">
        <v>96</v>
      </c>
      <c r="D22" s="5" t="str">
        <f t="shared" si="1"/>
        <v>supp_05</v>
      </c>
      <c r="E22" s="33" t="b">
        <v>1</v>
      </c>
      <c r="F22" s="16" t="s">
        <v>82</v>
      </c>
      <c r="G22" s="16" t="s">
        <v>83</v>
      </c>
      <c r="H22" s="34" t="s">
        <v>84</v>
      </c>
      <c r="I22" s="19">
        <v>1.0</v>
      </c>
      <c r="J22" s="19">
        <v>0.0</v>
      </c>
      <c r="K22" s="35" t="s">
        <v>9</v>
      </c>
      <c r="L22" s="21">
        <f t="shared" si="2"/>
        <v>21</v>
      </c>
    </row>
    <row r="23">
      <c r="A23" s="30">
        <v>22.0</v>
      </c>
      <c r="B23" s="22" t="s">
        <v>100</v>
      </c>
      <c r="C23" s="23" t="s">
        <v>101</v>
      </c>
      <c r="D23" s="5" t="str">
        <f t="shared" si="1"/>
        <v>supp_06</v>
      </c>
      <c r="E23" s="36" t="b">
        <v>1</v>
      </c>
      <c r="F23" s="23" t="s">
        <v>82</v>
      </c>
      <c r="G23" s="23" t="s">
        <v>83</v>
      </c>
      <c r="H23" s="37" t="s">
        <v>84</v>
      </c>
      <c r="I23" s="26">
        <v>1.0</v>
      </c>
      <c r="J23" s="26">
        <v>0.0</v>
      </c>
      <c r="K23" s="38" t="s">
        <v>4</v>
      </c>
      <c r="L23" s="21">
        <f t="shared" si="2"/>
        <v>22</v>
      </c>
    </row>
    <row r="24">
      <c r="A24" s="14">
        <v>23.0</v>
      </c>
      <c r="B24" s="15" t="s">
        <v>103</v>
      </c>
      <c r="C24" s="16" t="s">
        <v>104</v>
      </c>
      <c r="D24" s="5" t="str">
        <f t="shared" si="1"/>
        <v>supp_07</v>
      </c>
      <c r="E24" s="33" t="b">
        <v>1</v>
      </c>
      <c r="F24" s="16" t="s">
        <v>82</v>
      </c>
      <c r="G24" s="16" t="s">
        <v>83</v>
      </c>
      <c r="H24" s="34" t="s">
        <v>84</v>
      </c>
      <c r="I24" s="19">
        <v>1.0</v>
      </c>
      <c r="J24" s="19">
        <v>0.0</v>
      </c>
      <c r="K24" s="35" t="s">
        <v>9</v>
      </c>
      <c r="L24" s="21">
        <f t="shared" si="2"/>
        <v>23</v>
      </c>
    </row>
    <row r="25">
      <c r="A25" s="30">
        <v>24.0</v>
      </c>
      <c r="B25" s="22" t="s">
        <v>107</v>
      </c>
      <c r="C25" s="23" t="s">
        <v>108</v>
      </c>
      <c r="D25" s="5" t="str">
        <f t="shared" si="1"/>
        <v>supp_08</v>
      </c>
      <c r="E25" s="36" t="b">
        <v>1</v>
      </c>
      <c r="F25" s="23" t="s">
        <v>82</v>
      </c>
      <c r="G25" s="23" t="s">
        <v>83</v>
      </c>
      <c r="H25" s="37" t="s">
        <v>84</v>
      </c>
      <c r="I25" s="26">
        <v>1.0</v>
      </c>
      <c r="J25" s="26">
        <v>0.0</v>
      </c>
      <c r="K25" s="38" t="s">
        <v>9</v>
      </c>
      <c r="L25" s="21">
        <f t="shared" si="2"/>
        <v>24</v>
      </c>
    </row>
    <row r="26">
      <c r="A26" s="14">
        <v>25.0</v>
      </c>
      <c r="B26" s="15" t="s">
        <v>111</v>
      </c>
      <c r="C26" s="16" t="s">
        <v>112</v>
      </c>
      <c r="D26" s="5" t="str">
        <f t="shared" si="1"/>
        <v>supp_09</v>
      </c>
      <c r="E26" s="33" t="b">
        <v>1</v>
      </c>
      <c r="F26" s="16" t="s">
        <v>89</v>
      </c>
      <c r="G26" s="16" t="s">
        <v>83</v>
      </c>
      <c r="H26" s="34" t="s">
        <v>84</v>
      </c>
      <c r="I26" s="19">
        <v>1.0</v>
      </c>
      <c r="J26" s="19">
        <v>0.0</v>
      </c>
      <c r="K26" s="35" t="s">
        <v>4</v>
      </c>
      <c r="L26" s="21">
        <f t="shared" si="2"/>
        <v>25</v>
      </c>
    </row>
    <row r="27">
      <c r="A27" s="30">
        <v>26.0</v>
      </c>
      <c r="B27" s="22" t="s">
        <v>114</v>
      </c>
      <c r="C27" s="23" t="s">
        <v>115</v>
      </c>
      <c r="D27" s="5" t="str">
        <f t="shared" si="1"/>
        <v>supp_10</v>
      </c>
      <c r="E27" s="36" t="b">
        <v>1</v>
      </c>
      <c r="F27" s="23" t="s">
        <v>82</v>
      </c>
      <c r="G27" s="23" t="s">
        <v>83</v>
      </c>
      <c r="H27" s="37" t="s">
        <v>84</v>
      </c>
      <c r="I27" s="26">
        <v>1.0</v>
      </c>
      <c r="J27" s="26">
        <v>0.0</v>
      </c>
      <c r="K27" s="38" t="s">
        <v>9</v>
      </c>
      <c r="L27" s="21">
        <f t="shared" si="2"/>
        <v>26</v>
      </c>
    </row>
    <row r="28">
      <c r="A28" s="14">
        <v>27.0</v>
      </c>
      <c r="B28" s="15" t="s">
        <v>118</v>
      </c>
      <c r="C28" s="16" t="s">
        <v>119</v>
      </c>
      <c r="D28" s="5" t="str">
        <f t="shared" si="1"/>
        <v>supp_11</v>
      </c>
      <c r="E28" s="33" t="b">
        <v>1</v>
      </c>
      <c r="F28" s="16" t="s">
        <v>121</v>
      </c>
      <c r="G28" s="16" t="s">
        <v>123</v>
      </c>
      <c r="H28" s="34" t="s">
        <v>124</v>
      </c>
      <c r="I28" s="19">
        <v>1.0</v>
      </c>
      <c r="J28" s="19">
        <v>0.0</v>
      </c>
      <c r="K28" s="35" t="s">
        <v>9</v>
      </c>
      <c r="L28" s="21">
        <f t="shared" si="2"/>
        <v>27</v>
      </c>
    </row>
    <row r="29">
      <c r="A29" s="30">
        <v>28.0</v>
      </c>
      <c r="B29" s="52" t="s">
        <v>128</v>
      </c>
      <c r="C29" s="23" t="s">
        <v>129</v>
      </c>
      <c r="D29" s="5" t="str">
        <f t="shared" si="1"/>
        <v>supp_12</v>
      </c>
      <c r="E29" s="36" t="b">
        <v>1</v>
      </c>
      <c r="F29" s="23" t="s">
        <v>131</v>
      </c>
      <c r="G29" s="23" t="s">
        <v>132</v>
      </c>
      <c r="H29" s="37" t="s">
        <v>133</v>
      </c>
      <c r="I29" s="56">
        <v>1.0</v>
      </c>
      <c r="J29" s="26">
        <v>0.0</v>
      </c>
      <c r="K29" s="38" t="s">
        <v>4</v>
      </c>
      <c r="L29" s="21">
        <f t="shared" si="2"/>
        <v>28</v>
      </c>
    </row>
    <row r="30">
      <c r="A30" s="14">
        <v>29.0</v>
      </c>
      <c r="B30" s="58" t="s">
        <v>134</v>
      </c>
      <c r="C30" s="16" t="s">
        <v>135</v>
      </c>
      <c r="D30" s="5" t="str">
        <f t="shared" si="1"/>
        <v>supp_13</v>
      </c>
      <c r="E30" s="33" t="b">
        <v>1</v>
      </c>
      <c r="F30" s="16" t="s">
        <v>136</v>
      </c>
      <c r="G30" s="16" t="s">
        <v>137</v>
      </c>
      <c r="H30" s="34" t="s">
        <v>133</v>
      </c>
      <c r="I30" s="59">
        <v>1.0</v>
      </c>
      <c r="J30" s="19">
        <v>0.0</v>
      </c>
      <c r="K30" s="35" t="s">
        <v>9</v>
      </c>
      <c r="L30" s="21">
        <f t="shared" si="2"/>
        <v>29</v>
      </c>
    </row>
    <row r="31">
      <c r="A31" s="30">
        <v>30.0</v>
      </c>
      <c r="B31" s="52" t="s">
        <v>138</v>
      </c>
      <c r="C31" s="23" t="s">
        <v>139</v>
      </c>
      <c r="D31" s="5" t="str">
        <f t="shared" si="1"/>
        <v>supp_14</v>
      </c>
      <c r="E31" s="36" t="b">
        <v>1</v>
      </c>
      <c r="F31" s="23" t="s">
        <v>140</v>
      </c>
      <c r="G31" s="23" t="s">
        <v>132</v>
      </c>
      <c r="H31" s="37" t="s">
        <v>133</v>
      </c>
      <c r="I31" s="56">
        <v>1.0</v>
      </c>
      <c r="J31" s="26">
        <v>0.0</v>
      </c>
      <c r="K31" s="38" t="s">
        <v>9</v>
      </c>
      <c r="L31" s="21">
        <f t="shared" si="2"/>
        <v>30</v>
      </c>
    </row>
    <row r="32">
      <c r="A32" s="14">
        <v>31.0</v>
      </c>
      <c r="B32" s="58" t="s">
        <v>141</v>
      </c>
      <c r="C32" s="16" t="s">
        <v>142</v>
      </c>
      <c r="D32" s="5" t="str">
        <f t="shared" si="1"/>
        <v>supp_15</v>
      </c>
      <c r="E32" s="33" t="b">
        <v>1</v>
      </c>
      <c r="F32" s="16" t="s">
        <v>143</v>
      </c>
      <c r="G32" s="16" t="s">
        <v>144</v>
      </c>
      <c r="H32" s="34" t="s">
        <v>145</v>
      </c>
      <c r="I32" s="59">
        <v>1.0</v>
      </c>
      <c r="J32" s="19">
        <v>0.0</v>
      </c>
      <c r="K32" s="35" t="s">
        <v>4</v>
      </c>
      <c r="L32" s="21">
        <f t="shared" si="2"/>
        <v>31</v>
      </c>
    </row>
    <row r="33">
      <c r="A33" s="30">
        <v>32.0</v>
      </c>
      <c r="B33" s="52" t="s">
        <v>146</v>
      </c>
      <c r="C33" s="23" t="s">
        <v>147</v>
      </c>
      <c r="D33" s="5" t="str">
        <f t="shared" si="1"/>
        <v>supp_16</v>
      </c>
      <c r="E33" s="36" t="b">
        <v>1</v>
      </c>
      <c r="F33" s="23" t="s">
        <v>148</v>
      </c>
      <c r="G33" s="23" t="s">
        <v>123</v>
      </c>
      <c r="H33" s="37" t="s">
        <v>124</v>
      </c>
      <c r="I33" s="56">
        <v>1.0</v>
      </c>
      <c r="J33" s="26">
        <v>0.0</v>
      </c>
      <c r="K33" s="38" t="s">
        <v>9</v>
      </c>
      <c r="L33" s="21">
        <f t="shared" si="2"/>
        <v>32</v>
      </c>
    </row>
    <row r="34">
      <c r="A34" s="14">
        <v>33.0</v>
      </c>
      <c r="B34" s="58" t="s">
        <v>149</v>
      </c>
      <c r="C34" s="16" t="s">
        <v>150</v>
      </c>
      <c r="D34" s="5" t="str">
        <f t="shared" si="1"/>
        <v>supp_17</v>
      </c>
      <c r="E34" s="33" t="b">
        <v>1</v>
      </c>
      <c r="F34" s="16" t="s">
        <v>151</v>
      </c>
      <c r="G34" s="16" t="s">
        <v>152</v>
      </c>
      <c r="H34" s="34" t="s">
        <v>153</v>
      </c>
      <c r="I34" s="59">
        <v>1.0</v>
      </c>
      <c r="J34" s="19">
        <v>0.0</v>
      </c>
      <c r="K34" s="35" t="s">
        <v>9</v>
      </c>
      <c r="L34" s="21">
        <f t="shared" si="2"/>
        <v>33</v>
      </c>
    </row>
    <row r="35">
      <c r="A35" s="30">
        <v>34.0</v>
      </c>
      <c r="B35" s="52" t="s">
        <v>154</v>
      </c>
      <c r="C35" s="23" t="s">
        <v>155</v>
      </c>
      <c r="D35" s="5" t="str">
        <f t="shared" si="1"/>
        <v>supp_18</v>
      </c>
      <c r="E35" s="36" t="b">
        <v>1</v>
      </c>
      <c r="F35" s="23" t="s">
        <v>157</v>
      </c>
      <c r="G35" s="23" t="s">
        <v>158</v>
      </c>
      <c r="H35" s="37" t="s">
        <v>159</v>
      </c>
      <c r="I35" s="56">
        <v>1.0</v>
      </c>
      <c r="J35" s="26">
        <v>0.0</v>
      </c>
      <c r="K35" s="38" t="s">
        <v>9</v>
      </c>
      <c r="L35" s="21">
        <f t="shared" si="2"/>
        <v>34</v>
      </c>
    </row>
    <row r="36">
      <c r="A36" s="14">
        <v>35.0</v>
      </c>
      <c r="B36" s="58" t="s">
        <v>161</v>
      </c>
      <c r="C36" s="16" t="s">
        <v>162</v>
      </c>
      <c r="D36" s="5" t="str">
        <f t="shared" si="1"/>
        <v>supp_19</v>
      </c>
      <c r="E36" s="33" t="b">
        <v>1</v>
      </c>
      <c r="F36" s="16" t="s">
        <v>163</v>
      </c>
      <c r="G36" s="16" t="s">
        <v>164</v>
      </c>
      <c r="H36" s="34" t="s">
        <v>165</v>
      </c>
      <c r="I36" s="59">
        <v>1.0</v>
      </c>
      <c r="J36" s="19">
        <v>0.0</v>
      </c>
      <c r="K36" s="35" t="s">
        <v>9</v>
      </c>
      <c r="L36" s="21">
        <f t="shared" si="2"/>
        <v>35</v>
      </c>
    </row>
    <row r="37">
      <c r="A37" s="30">
        <v>36.0</v>
      </c>
      <c r="B37" s="52" t="s">
        <v>167</v>
      </c>
      <c r="C37" s="23" t="s">
        <v>169</v>
      </c>
      <c r="D37" s="5" t="str">
        <f t="shared" si="1"/>
        <v>supp_20</v>
      </c>
      <c r="E37" s="36" t="b">
        <v>1</v>
      </c>
      <c r="F37" s="23" t="s">
        <v>170</v>
      </c>
      <c r="G37" s="23" t="s">
        <v>171</v>
      </c>
      <c r="H37" s="37" t="s">
        <v>172</v>
      </c>
      <c r="I37" s="56">
        <v>1.0</v>
      </c>
      <c r="J37" s="26">
        <v>0.0</v>
      </c>
      <c r="K37" s="38" t="s">
        <v>9</v>
      </c>
      <c r="L37" s="21">
        <f t="shared" si="2"/>
        <v>36</v>
      </c>
    </row>
    <row r="38">
      <c r="A38" s="14">
        <v>37.0</v>
      </c>
      <c r="B38" s="58" t="s">
        <v>175</v>
      </c>
      <c r="C38" s="16" t="s">
        <v>177</v>
      </c>
      <c r="D38" s="5" t="str">
        <f t="shared" si="1"/>
        <v>supp_21</v>
      </c>
      <c r="E38" s="33" t="b">
        <v>1</v>
      </c>
      <c r="F38" s="16" t="s">
        <v>82</v>
      </c>
      <c r="G38" s="16" t="s">
        <v>83</v>
      </c>
      <c r="H38" s="34" t="s">
        <v>84</v>
      </c>
      <c r="I38" s="59">
        <v>1.0</v>
      </c>
      <c r="J38" s="19">
        <v>0.0</v>
      </c>
      <c r="K38" s="35" t="s">
        <v>4</v>
      </c>
      <c r="L38" s="21">
        <f t="shared" si="2"/>
        <v>37</v>
      </c>
    </row>
    <row r="39">
      <c r="A39" s="30">
        <v>38.0</v>
      </c>
      <c r="B39" s="52" t="s">
        <v>179</v>
      </c>
      <c r="C39" s="23" t="s">
        <v>180</v>
      </c>
      <c r="D39" s="5" t="str">
        <f t="shared" si="1"/>
        <v>supp_22</v>
      </c>
      <c r="E39" s="36" t="b">
        <v>1</v>
      </c>
      <c r="F39" s="23" t="s">
        <v>181</v>
      </c>
      <c r="G39" s="23" t="s">
        <v>182</v>
      </c>
      <c r="H39" s="37" t="s">
        <v>84</v>
      </c>
      <c r="I39" s="56">
        <v>1.0</v>
      </c>
      <c r="J39" s="26">
        <v>0.0</v>
      </c>
      <c r="K39" s="38" t="s">
        <v>9</v>
      </c>
      <c r="L39" s="21">
        <f t="shared" si="2"/>
        <v>38</v>
      </c>
    </row>
    <row r="40">
      <c r="A40" s="14">
        <v>39.0</v>
      </c>
      <c r="B40" s="58" t="s">
        <v>183</v>
      </c>
      <c r="C40" s="16" t="s">
        <v>184</v>
      </c>
      <c r="D40" s="5" t="str">
        <f t="shared" si="1"/>
        <v>supp_23</v>
      </c>
      <c r="E40" s="33" t="b">
        <v>1</v>
      </c>
      <c r="F40" s="16" t="s">
        <v>181</v>
      </c>
      <c r="G40" s="16" t="s">
        <v>182</v>
      </c>
      <c r="H40" s="34" t="s">
        <v>84</v>
      </c>
      <c r="I40" s="59">
        <v>1.0</v>
      </c>
      <c r="J40" s="19">
        <v>0.0</v>
      </c>
      <c r="K40" s="35" t="s">
        <v>9</v>
      </c>
      <c r="L40" s="21">
        <f t="shared" si="2"/>
        <v>39</v>
      </c>
    </row>
    <row r="41">
      <c r="A41" s="30">
        <v>40.0</v>
      </c>
      <c r="B41" s="52" t="s">
        <v>185</v>
      </c>
      <c r="C41" s="23" t="s">
        <v>186</v>
      </c>
      <c r="D41" s="5" t="str">
        <f t="shared" si="1"/>
        <v>supp_24</v>
      </c>
      <c r="E41" s="36" t="b">
        <v>1</v>
      </c>
      <c r="F41" s="23" t="s">
        <v>181</v>
      </c>
      <c r="G41" s="23" t="s">
        <v>182</v>
      </c>
      <c r="H41" s="37" t="s">
        <v>84</v>
      </c>
      <c r="I41" s="56">
        <v>1.0</v>
      </c>
      <c r="J41" s="26">
        <v>0.0</v>
      </c>
      <c r="K41" s="38" t="s">
        <v>4</v>
      </c>
      <c r="L41" s="21">
        <f t="shared" si="2"/>
        <v>40</v>
      </c>
    </row>
    <row r="42">
      <c r="A42" s="14">
        <v>41.0</v>
      </c>
      <c r="B42" s="58" t="s">
        <v>187</v>
      </c>
      <c r="C42" s="16" t="s">
        <v>188</v>
      </c>
      <c r="D42" s="5" t="str">
        <f t="shared" si="1"/>
        <v>supp_25</v>
      </c>
      <c r="E42" s="33" t="b">
        <v>1</v>
      </c>
      <c r="F42" s="16" t="s">
        <v>181</v>
      </c>
      <c r="G42" s="16" t="s">
        <v>182</v>
      </c>
      <c r="H42" s="34" t="s">
        <v>84</v>
      </c>
      <c r="I42" s="59">
        <v>1.0</v>
      </c>
      <c r="J42" s="19">
        <v>0.0</v>
      </c>
      <c r="K42" s="35" t="s">
        <v>4</v>
      </c>
      <c r="L42" s="21">
        <f t="shared" si="2"/>
        <v>41</v>
      </c>
    </row>
    <row r="43">
      <c r="A43" s="30">
        <v>42.0</v>
      </c>
      <c r="B43" s="52" t="s">
        <v>189</v>
      </c>
      <c r="C43" s="23" t="s">
        <v>190</v>
      </c>
      <c r="D43" s="5" t="str">
        <f t="shared" si="1"/>
        <v>cust_c01</v>
      </c>
      <c r="E43" s="36" t="b">
        <v>1</v>
      </c>
      <c r="F43" s="23" t="s">
        <v>191</v>
      </c>
      <c r="G43" s="23" t="s">
        <v>83</v>
      </c>
      <c r="H43" s="37" t="s">
        <v>84</v>
      </c>
      <c r="I43" s="26">
        <v>0.0</v>
      </c>
      <c r="J43" s="26">
        <v>1.0</v>
      </c>
      <c r="K43" s="38" t="s">
        <v>4</v>
      </c>
      <c r="L43" s="21">
        <f t="shared" si="2"/>
        <v>42</v>
      </c>
    </row>
    <row r="44">
      <c r="A44" s="14">
        <v>43.0</v>
      </c>
      <c r="B44" s="58" t="s">
        <v>192</v>
      </c>
      <c r="C44" s="16" t="s">
        <v>193</v>
      </c>
      <c r="D44" s="5" t="str">
        <f t="shared" si="1"/>
        <v>cust_c02</v>
      </c>
      <c r="E44" s="33" t="b">
        <v>1</v>
      </c>
      <c r="F44" s="16" t="s">
        <v>181</v>
      </c>
      <c r="G44" s="16" t="s">
        <v>182</v>
      </c>
      <c r="H44" s="34" t="s">
        <v>84</v>
      </c>
      <c r="I44" s="19">
        <v>0.0</v>
      </c>
      <c r="J44" s="19">
        <v>1.0</v>
      </c>
      <c r="K44" s="35" t="s">
        <v>4</v>
      </c>
      <c r="L44" s="21">
        <f t="shared" si="2"/>
        <v>43</v>
      </c>
    </row>
    <row r="45">
      <c r="A45" s="30">
        <v>44.0</v>
      </c>
      <c r="B45" s="52" t="s">
        <v>195</v>
      </c>
      <c r="C45" s="23" t="s">
        <v>196</v>
      </c>
      <c r="D45" s="5" t="str">
        <f t="shared" si="1"/>
        <v>cust_c03</v>
      </c>
      <c r="E45" s="36" t="b">
        <v>1</v>
      </c>
      <c r="F45" s="23" t="s">
        <v>197</v>
      </c>
      <c r="G45" s="23" t="s">
        <v>198</v>
      </c>
      <c r="H45" s="37" t="s">
        <v>84</v>
      </c>
      <c r="I45" s="26">
        <v>0.0</v>
      </c>
      <c r="J45" s="26">
        <v>1.0</v>
      </c>
      <c r="K45" s="38" t="s">
        <v>4</v>
      </c>
      <c r="L45" s="21">
        <f t="shared" si="2"/>
        <v>44</v>
      </c>
    </row>
    <row r="46">
      <c r="A46" s="14">
        <v>45.0</v>
      </c>
      <c r="B46" s="58" t="s">
        <v>200</v>
      </c>
      <c r="C46" s="16" t="s">
        <v>201</v>
      </c>
      <c r="D46" s="5" t="str">
        <f t="shared" si="1"/>
        <v>cust_c04</v>
      </c>
      <c r="E46" s="33" t="b">
        <v>1</v>
      </c>
      <c r="F46" s="16" t="s">
        <v>203</v>
      </c>
      <c r="G46" s="16" t="s">
        <v>83</v>
      </c>
      <c r="H46" s="34" t="s">
        <v>84</v>
      </c>
      <c r="I46" s="19">
        <v>0.0</v>
      </c>
      <c r="J46" s="19">
        <v>1.0</v>
      </c>
      <c r="K46" s="35" t="s">
        <v>4</v>
      </c>
      <c r="L46" s="21">
        <f t="shared" si="2"/>
        <v>45</v>
      </c>
    </row>
    <row r="47">
      <c r="A47" s="30">
        <v>46.0</v>
      </c>
      <c r="B47" s="52" t="s">
        <v>206</v>
      </c>
      <c r="C47" s="23" t="s">
        <v>207</v>
      </c>
      <c r="D47" s="5" t="str">
        <f t="shared" si="1"/>
        <v>cust_c05</v>
      </c>
      <c r="E47" s="36" t="b">
        <v>1</v>
      </c>
      <c r="F47" s="23" t="s">
        <v>209</v>
      </c>
      <c r="G47" s="23" t="s">
        <v>83</v>
      </c>
      <c r="H47" s="37" t="s">
        <v>84</v>
      </c>
      <c r="I47" s="26">
        <v>0.0</v>
      </c>
      <c r="J47" s="26">
        <v>1.0</v>
      </c>
      <c r="K47" s="38" t="s">
        <v>4</v>
      </c>
      <c r="L47" s="21">
        <f t="shared" si="2"/>
        <v>46</v>
      </c>
    </row>
    <row r="48">
      <c r="A48" s="14">
        <v>47.0</v>
      </c>
      <c r="B48" s="58" t="s">
        <v>212</v>
      </c>
      <c r="C48" s="16" t="s">
        <v>213</v>
      </c>
      <c r="D48" s="5" t="str">
        <f t="shared" si="1"/>
        <v>cust_c06</v>
      </c>
      <c r="E48" s="33" t="b">
        <v>1</v>
      </c>
      <c r="F48" s="16" t="s">
        <v>82</v>
      </c>
      <c r="G48" s="16" t="s">
        <v>83</v>
      </c>
      <c r="H48" s="34" t="s">
        <v>84</v>
      </c>
      <c r="I48" s="19">
        <v>0.0</v>
      </c>
      <c r="J48" s="19">
        <v>1.0</v>
      </c>
      <c r="K48" s="35" t="s">
        <v>4</v>
      </c>
      <c r="L48" s="21">
        <f t="shared" si="2"/>
        <v>47</v>
      </c>
    </row>
    <row r="49">
      <c r="A49" s="30">
        <v>48.0</v>
      </c>
      <c r="B49" s="52" t="s">
        <v>214</v>
      </c>
      <c r="C49" s="23" t="s">
        <v>215</v>
      </c>
      <c r="D49" s="5" t="str">
        <f t="shared" si="1"/>
        <v>cust_c07</v>
      </c>
      <c r="E49" s="36" t="b">
        <v>1</v>
      </c>
      <c r="F49" s="23" t="s">
        <v>216</v>
      </c>
      <c r="G49" s="23" t="s">
        <v>217</v>
      </c>
      <c r="H49" s="37" t="s">
        <v>84</v>
      </c>
      <c r="I49" s="26">
        <v>0.0</v>
      </c>
      <c r="J49" s="26">
        <v>1.0</v>
      </c>
      <c r="K49" s="38" t="s">
        <v>4</v>
      </c>
      <c r="L49" s="21">
        <f t="shared" si="2"/>
        <v>48</v>
      </c>
    </row>
    <row r="50">
      <c r="A50" s="14">
        <v>49.0</v>
      </c>
      <c r="B50" s="58" t="s">
        <v>218</v>
      </c>
      <c r="C50" s="16" t="s">
        <v>219</v>
      </c>
      <c r="D50" s="5" t="str">
        <f t="shared" si="1"/>
        <v>cust_c08</v>
      </c>
      <c r="E50" s="33" t="b">
        <v>1</v>
      </c>
      <c r="F50" s="16" t="s">
        <v>82</v>
      </c>
      <c r="G50" s="16" t="s">
        <v>83</v>
      </c>
      <c r="H50" s="34" t="s">
        <v>84</v>
      </c>
      <c r="I50" s="19">
        <v>0.0</v>
      </c>
      <c r="J50" s="19">
        <v>1.0</v>
      </c>
      <c r="K50" s="35" t="s">
        <v>4</v>
      </c>
      <c r="L50" s="21">
        <f t="shared" si="2"/>
        <v>49</v>
      </c>
    </row>
    <row r="51">
      <c r="A51" s="30">
        <v>50.0</v>
      </c>
      <c r="B51" s="52" t="s">
        <v>220</v>
      </c>
      <c r="C51" s="23" t="s">
        <v>221</v>
      </c>
      <c r="D51" s="5" t="str">
        <f t="shared" si="1"/>
        <v>cust_c09</v>
      </c>
      <c r="E51" s="36" t="b">
        <v>1</v>
      </c>
      <c r="F51" s="23" t="s">
        <v>140</v>
      </c>
      <c r="G51" s="23" t="s">
        <v>132</v>
      </c>
      <c r="H51" s="37" t="s">
        <v>133</v>
      </c>
      <c r="I51" s="26">
        <v>0.0</v>
      </c>
      <c r="J51" s="26">
        <v>1.0</v>
      </c>
      <c r="K51" s="38" t="s">
        <v>4</v>
      </c>
      <c r="L51" s="21">
        <f t="shared" si="2"/>
        <v>50</v>
      </c>
    </row>
    <row r="52">
      <c r="A52" s="14">
        <v>51.0</v>
      </c>
      <c r="B52" s="58" t="s">
        <v>223</v>
      </c>
      <c r="C52" s="16" t="s">
        <v>224</v>
      </c>
      <c r="D52" s="5" t="str">
        <f t="shared" si="1"/>
        <v>cust_c10</v>
      </c>
      <c r="E52" s="33" t="b">
        <v>1</v>
      </c>
      <c r="F52" s="16" t="s">
        <v>225</v>
      </c>
      <c r="G52" s="16" t="s">
        <v>226</v>
      </c>
      <c r="H52" s="34" t="s">
        <v>133</v>
      </c>
      <c r="I52" s="19">
        <v>0.0</v>
      </c>
      <c r="J52" s="19">
        <v>1.0</v>
      </c>
      <c r="K52" s="35" t="s">
        <v>4</v>
      </c>
      <c r="L52" s="21">
        <f t="shared" si="2"/>
        <v>51</v>
      </c>
    </row>
    <row r="53">
      <c r="A53" s="30">
        <v>52.0</v>
      </c>
      <c r="B53" s="52" t="s">
        <v>228</v>
      </c>
      <c r="C53" s="23" t="s">
        <v>229</v>
      </c>
      <c r="D53" s="5" t="str">
        <f t="shared" si="1"/>
        <v>cust_c11</v>
      </c>
      <c r="E53" s="36" t="b">
        <v>1</v>
      </c>
      <c r="F53" s="23" t="s">
        <v>82</v>
      </c>
      <c r="G53" s="23" t="s">
        <v>83</v>
      </c>
      <c r="H53" s="37" t="s">
        <v>84</v>
      </c>
      <c r="I53" s="26">
        <v>0.0</v>
      </c>
      <c r="J53" s="26">
        <v>1.0</v>
      </c>
      <c r="K53" s="38" t="s">
        <v>4</v>
      </c>
      <c r="L53" s="21">
        <f t="shared" si="2"/>
        <v>52</v>
      </c>
    </row>
    <row r="54">
      <c r="A54" s="14">
        <v>53.0</v>
      </c>
      <c r="B54" s="58" t="s">
        <v>232</v>
      </c>
      <c r="C54" s="16" t="s">
        <v>233</v>
      </c>
      <c r="D54" s="5" t="str">
        <f t="shared" si="1"/>
        <v>cust_c12</v>
      </c>
      <c r="E54" s="33" t="b">
        <v>1</v>
      </c>
      <c r="F54" s="16" t="s">
        <v>82</v>
      </c>
      <c r="G54" s="16" t="s">
        <v>83</v>
      </c>
      <c r="H54" s="34" t="s">
        <v>84</v>
      </c>
      <c r="I54" s="19">
        <v>0.0</v>
      </c>
      <c r="J54" s="19">
        <v>1.0</v>
      </c>
      <c r="K54" s="35" t="s">
        <v>4</v>
      </c>
      <c r="L54" s="21">
        <f t="shared" si="2"/>
        <v>53</v>
      </c>
    </row>
    <row r="55">
      <c r="A55" s="30">
        <v>54.0</v>
      </c>
      <c r="B55" s="52" t="s">
        <v>234</v>
      </c>
      <c r="C55" s="23" t="s">
        <v>235</v>
      </c>
      <c r="D55" s="5" t="str">
        <f t="shared" si="1"/>
        <v>cust_c13</v>
      </c>
      <c r="E55" s="36" t="b">
        <v>1</v>
      </c>
      <c r="F55" s="23" t="s">
        <v>82</v>
      </c>
      <c r="G55" s="23" t="s">
        <v>83</v>
      </c>
      <c r="H55" s="37" t="s">
        <v>84</v>
      </c>
      <c r="I55" s="26">
        <v>0.0</v>
      </c>
      <c r="J55" s="26">
        <v>1.0</v>
      </c>
      <c r="K55" s="38" t="s">
        <v>4</v>
      </c>
      <c r="L55" s="21">
        <f t="shared" si="2"/>
        <v>54</v>
      </c>
    </row>
    <row r="56">
      <c r="A56" s="14">
        <v>55.0</v>
      </c>
      <c r="B56" s="58" t="s">
        <v>236</v>
      </c>
      <c r="C56" s="16" t="s">
        <v>237</v>
      </c>
      <c r="D56" s="5" t="str">
        <f t="shared" si="1"/>
        <v>cust_c14</v>
      </c>
      <c r="E56" s="33" t="b">
        <v>1</v>
      </c>
      <c r="F56" s="16" t="s">
        <v>82</v>
      </c>
      <c r="G56" s="16" t="s">
        <v>83</v>
      </c>
      <c r="H56" s="34" t="s">
        <v>84</v>
      </c>
      <c r="I56" s="19">
        <v>0.0</v>
      </c>
      <c r="J56" s="19">
        <v>1.0</v>
      </c>
      <c r="K56" s="35" t="s">
        <v>4</v>
      </c>
      <c r="L56" s="21">
        <f t="shared" si="2"/>
        <v>55</v>
      </c>
    </row>
    <row r="57">
      <c r="A57" s="30">
        <v>56.0</v>
      </c>
      <c r="B57" s="52" t="s">
        <v>238</v>
      </c>
      <c r="C57" s="23" t="s">
        <v>239</v>
      </c>
      <c r="D57" s="5" t="str">
        <f t="shared" si="1"/>
        <v>cust_c15</v>
      </c>
      <c r="E57" s="36" t="b">
        <v>1</v>
      </c>
      <c r="F57" s="23" t="s">
        <v>82</v>
      </c>
      <c r="G57" s="23" t="s">
        <v>83</v>
      </c>
      <c r="H57" s="37" t="s">
        <v>84</v>
      </c>
      <c r="I57" s="26">
        <v>0.0</v>
      </c>
      <c r="J57" s="26">
        <v>1.0</v>
      </c>
      <c r="K57" s="38" t="s">
        <v>4</v>
      </c>
      <c r="L57" s="21">
        <f t="shared" si="2"/>
        <v>56</v>
      </c>
    </row>
    <row r="58">
      <c r="A58" s="14">
        <v>57.0</v>
      </c>
      <c r="B58" s="58" t="s">
        <v>240</v>
      </c>
      <c r="C58" s="16" t="s">
        <v>241</v>
      </c>
      <c r="D58" s="5" t="str">
        <f t="shared" si="1"/>
        <v>cust_c16</v>
      </c>
      <c r="E58" s="33" t="b">
        <v>1</v>
      </c>
      <c r="F58" s="16" t="s">
        <v>82</v>
      </c>
      <c r="G58" s="16" t="s">
        <v>83</v>
      </c>
      <c r="H58" s="34" t="s">
        <v>84</v>
      </c>
      <c r="I58" s="19">
        <v>0.0</v>
      </c>
      <c r="J58" s="19">
        <v>1.0</v>
      </c>
      <c r="K58" s="35" t="s">
        <v>4</v>
      </c>
      <c r="L58" s="21">
        <f t="shared" si="2"/>
        <v>57</v>
      </c>
    </row>
    <row r="59">
      <c r="A59" s="30">
        <v>58.0</v>
      </c>
      <c r="B59" s="52" t="s">
        <v>242</v>
      </c>
      <c r="C59" s="23" t="s">
        <v>243</v>
      </c>
      <c r="D59" s="5" t="str">
        <f t="shared" si="1"/>
        <v>cust_c17</v>
      </c>
      <c r="E59" s="36" t="b">
        <v>1</v>
      </c>
      <c r="F59" s="23" t="s">
        <v>131</v>
      </c>
      <c r="G59" s="23" t="s">
        <v>132</v>
      </c>
      <c r="H59" s="37" t="s">
        <v>133</v>
      </c>
      <c r="I59" s="26">
        <v>0.0</v>
      </c>
      <c r="J59" s="26">
        <v>1.0</v>
      </c>
      <c r="K59" s="38" t="s">
        <v>4</v>
      </c>
      <c r="L59" s="21">
        <f t="shared" si="2"/>
        <v>58</v>
      </c>
    </row>
    <row r="60">
      <c r="A60" s="14">
        <v>59.0</v>
      </c>
      <c r="B60" s="58" t="s">
        <v>244</v>
      </c>
      <c r="C60" s="16" t="s">
        <v>245</v>
      </c>
      <c r="D60" s="5" t="str">
        <f t="shared" si="1"/>
        <v>cust_c18</v>
      </c>
      <c r="E60" s="33" t="b">
        <v>1</v>
      </c>
      <c r="F60" s="16" t="s">
        <v>246</v>
      </c>
      <c r="G60" s="16" t="s">
        <v>247</v>
      </c>
      <c r="H60" s="34" t="s">
        <v>145</v>
      </c>
      <c r="I60" s="19">
        <v>0.0</v>
      </c>
      <c r="J60" s="19">
        <v>1.0</v>
      </c>
      <c r="K60" s="35" t="s">
        <v>4</v>
      </c>
      <c r="L60" s="21">
        <f t="shared" si="2"/>
        <v>59</v>
      </c>
    </row>
    <row r="61">
      <c r="A61" s="30">
        <v>60.0</v>
      </c>
      <c r="B61" s="52" t="s">
        <v>248</v>
      </c>
      <c r="C61" s="23" t="s">
        <v>249</v>
      </c>
      <c r="D61" s="5" t="str">
        <f t="shared" si="1"/>
        <v>cust_c19</v>
      </c>
      <c r="E61" s="36" t="b">
        <v>1</v>
      </c>
      <c r="F61" s="23" t="s">
        <v>250</v>
      </c>
      <c r="G61" s="23" t="s">
        <v>247</v>
      </c>
      <c r="H61" s="37" t="s">
        <v>145</v>
      </c>
      <c r="I61" s="26">
        <v>0.0</v>
      </c>
      <c r="J61" s="26">
        <v>1.0</v>
      </c>
      <c r="K61" s="38" t="s">
        <v>4</v>
      </c>
      <c r="L61" s="21">
        <f t="shared" si="2"/>
        <v>60</v>
      </c>
    </row>
    <row r="62">
      <c r="A62" s="14">
        <v>61.0</v>
      </c>
      <c r="B62" s="58" t="s">
        <v>251</v>
      </c>
      <c r="C62" s="16" t="s">
        <v>252</v>
      </c>
      <c r="D62" s="5" t="str">
        <f t="shared" si="1"/>
        <v>cust_c20</v>
      </c>
      <c r="E62" s="33" t="b">
        <v>1</v>
      </c>
      <c r="F62" s="16" t="s">
        <v>253</v>
      </c>
      <c r="G62" s="16" t="s">
        <v>247</v>
      </c>
      <c r="H62" s="34" t="s">
        <v>145</v>
      </c>
      <c r="I62" s="19">
        <v>0.0</v>
      </c>
      <c r="J62" s="19">
        <v>1.0</v>
      </c>
      <c r="K62" s="35" t="s">
        <v>4</v>
      </c>
      <c r="L62" s="21">
        <f t="shared" si="2"/>
        <v>61</v>
      </c>
    </row>
    <row r="63">
      <c r="A63" s="30">
        <v>62.0</v>
      </c>
      <c r="B63" s="52" t="s">
        <v>254</v>
      </c>
      <c r="C63" s="23" t="s">
        <v>255</v>
      </c>
      <c r="D63" s="5" t="str">
        <f t="shared" si="1"/>
        <v>cust_c21</v>
      </c>
      <c r="E63" s="36" t="b">
        <v>1</v>
      </c>
      <c r="F63" s="23" t="s">
        <v>256</v>
      </c>
      <c r="G63" s="23" t="s">
        <v>152</v>
      </c>
      <c r="H63" s="37" t="s">
        <v>153</v>
      </c>
      <c r="I63" s="26">
        <v>0.0</v>
      </c>
      <c r="J63" s="26">
        <v>1.0</v>
      </c>
      <c r="K63" s="38" t="s">
        <v>4</v>
      </c>
      <c r="L63" s="21">
        <f t="shared" si="2"/>
        <v>62</v>
      </c>
    </row>
    <row r="64">
      <c r="A64" s="14">
        <v>63.0</v>
      </c>
      <c r="B64" s="58" t="s">
        <v>257</v>
      </c>
      <c r="C64" s="16" t="s">
        <v>258</v>
      </c>
      <c r="D64" s="5" t="str">
        <f t="shared" si="1"/>
        <v>cust_c22</v>
      </c>
      <c r="E64" s="33" t="b">
        <v>1</v>
      </c>
      <c r="F64" s="16" t="s">
        <v>259</v>
      </c>
      <c r="G64" s="16" t="s">
        <v>260</v>
      </c>
      <c r="H64" s="34" t="s">
        <v>153</v>
      </c>
      <c r="I64" s="19">
        <v>0.0</v>
      </c>
      <c r="J64" s="19">
        <v>1.0</v>
      </c>
      <c r="K64" s="35" t="s">
        <v>4</v>
      </c>
      <c r="L64" s="21">
        <f t="shared" si="2"/>
        <v>63</v>
      </c>
    </row>
    <row r="65">
      <c r="A65" s="30">
        <v>64.0</v>
      </c>
      <c r="B65" s="52" t="s">
        <v>261</v>
      </c>
      <c r="C65" s="23" t="s">
        <v>262</v>
      </c>
      <c r="D65" s="5" t="str">
        <f t="shared" si="1"/>
        <v>cust_c23</v>
      </c>
      <c r="E65" s="36" t="b">
        <v>1</v>
      </c>
      <c r="F65" s="23" t="s">
        <v>263</v>
      </c>
      <c r="G65" s="23" t="s">
        <v>152</v>
      </c>
      <c r="H65" s="37" t="s">
        <v>153</v>
      </c>
      <c r="I65" s="26">
        <v>0.0</v>
      </c>
      <c r="J65" s="26">
        <v>1.0</v>
      </c>
      <c r="K65" s="38" t="s">
        <v>9</v>
      </c>
      <c r="L65" s="21">
        <f t="shared" si="2"/>
        <v>64</v>
      </c>
    </row>
    <row r="66">
      <c r="A66" s="14">
        <v>65.0</v>
      </c>
      <c r="B66" s="58" t="s">
        <v>264</v>
      </c>
      <c r="C66" s="16" t="s">
        <v>265</v>
      </c>
      <c r="D66" s="5" t="str">
        <f t="shared" si="1"/>
        <v>cust_c24</v>
      </c>
      <c r="E66" s="33" t="b">
        <v>1</v>
      </c>
      <c r="F66" s="16" t="s">
        <v>266</v>
      </c>
      <c r="G66" s="16" t="s">
        <v>267</v>
      </c>
      <c r="H66" s="34" t="s">
        <v>165</v>
      </c>
      <c r="I66" s="19">
        <v>0.0</v>
      </c>
      <c r="J66" s="19">
        <v>1.0</v>
      </c>
      <c r="K66" s="35" t="s">
        <v>4</v>
      </c>
      <c r="L66" s="21">
        <f t="shared" si="2"/>
        <v>65</v>
      </c>
    </row>
    <row r="67">
      <c r="A67" s="30">
        <v>66.0</v>
      </c>
      <c r="B67" s="52" t="s">
        <v>268</v>
      </c>
      <c r="C67" s="23" t="s">
        <v>269</v>
      </c>
      <c r="D67" s="5" t="str">
        <f t="shared" si="1"/>
        <v>cust_c25</v>
      </c>
      <c r="E67" s="36" t="b">
        <v>1</v>
      </c>
      <c r="F67" s="23" t="s">
        <v>270</v>
      </c>
      <c r="G67" s="23" t="s">
        <v>164</v>
      </c>
      <c r="H67" s="37" t="s">
        <v>165</v>
      </c>
      <c r="I67" s="26">
        <v>0.0</v>
      </c>
      <c r="J67" s="26">
        <v>1.0</v>
      </c>
      <c r="K67" s="38" t="s">
        <v>9</v>
      </c>
      <c r="L67" s="21">
        <f t="shared" si="2"/>
        <v>66</v>
      </c>
    </row>
    <row r="68">
      <c r="A68" s="14">
        <v>67.0</v>
      </c>
      <c r="B68" s="58" t="s">
        <v>274</v>
      </c>
      <c r="C68" s="16" t="s">
        <v>276</v>
      </c>
      <c r="D68" s="5" t="str">
        <f t="shared" si="1"/>
        <v>cust_c26</v>
      </c>
      <c r="E68" s="33" t="b">
        <v>1</v>
      </c>
      <c r="F68" s="16" t="s">
        <v>280</v>
      </c>
      <c r="G68" s="16" t="s">
        <v>280</v>
      </c>
      <c r="H68" s="34" t="s">
        <v>165</v>
      </c>
      <c r="I68" s="19">
        <v>0.0</v>
      </c>
      <c r="J68" s="19">
        <v>1.0</v>
      </c>
      <c r="K68" s="35" t="s">
        <v>9</v>
      </c>
      <c r="L68" s="21">
        <f t="shared" si="2"/>
        <v>67</v>
      </c>
    </row>
    <row r="69">
      <c r="A69" s="30">
        <v>68.0</v>
      </c>
      <c r="B69" s="52" t="s">
        <v>290</v>
      </c>
      <c r="C69" s="23" t="s">
        <v>292</v>
      </c>
      <c r="D69" s="5" t="str">
        <f t="shared" si="1"/>
        <v>cust_c27</v>
      </c>
      <c r="E69" s="36" t="b">
        <v>1</v>
      </c>
      <c r="F69" s="23" t="s">
        <v>294</v>
      </c>
      <c r="G69" s="23" t="s">
        <v>297</v>
      </c>
      <c r="H69" s="37" t="s">
        <v>299</v>
      </c>
      <c r="I69" s="26">
        <v>0.0</v>
      </c>
      <c r="J69" s="26">
        <v>1.0</v>
      </c>
      <c r="K69" s="38" t="s">
        <v>9</v>
      </c>
      <c r="L69" s="21">
        <f t="shared" si="2"/>
        <v>68</v>
      </c>
    </row>
    <row r="70">
      <c r="A70" s="14">
        <v>69.0</v>
      </c>
      <c r="B70" s="58" t="s">
        <v>301</v>
      </c>
      <c r="C70" s="16" t="s">
        <v>302</v>
      </c>
      <c r="D70" s="5" t="str">
        <f t="shared" si="1"/>
        <v>cust_c28</v>
      </c>
      <c r="E70" s="33" t="b">
        <v>1</v>
      </c>
      <c r="F70" s="16" t="s">
        <v>303</v>
      </c>
      <c r="G70" s="16" t="s">
        <v>304</v>
      </c>
      <c r="H70" s="34" t="s">
        <v>299</v>
      </c>
      <c r="I70" s="19">
        <v>0.0</v>
      </c>
      <c r="J70" s="19">
        <v>1.0</v>
      </c>
      <c r="K70" s="35" t="s">
        <v>9</v>
      </c>
      <c r="L70" s="21">
        <f t="shared" si="2"/>
        <v>69</v>
      </c>
    </row>
    <row r="71">
      <c r="A71" s="30">
        <v>70.0</v>
      </c>
      <c r="B71" s="52" t="s">
        <v>305</v>
      </c>
      <c r="C71" s="23" t="s">
        <v>306</v>
      </c>
      <c r="D71" s="5" t="str">
        <f t="shared" si="1"/>
        <v>cust_c29</v>
      </c>
      <c r="E71" s="36" t="b">
        <v>1</v>
      </c>
      <c r="F71" s="23" t="s">
        <v>307</v>
      </c>
      <c r="G71" s="23" t="s">
        <v>308</v>
      </c>
      <c r="H71" s="37" t="s">
        <v>309</v>
      </c>
      <c r="I71" s="26">
        <v>0.0</v>
      </c>
      <c r="J71" s="26">
        <v>1.0</v>
      </c>
      <c r="K71" s="38" t="s">
        <v>9</v>
      </c>
      <c r="L71" s="21">
        <f t="shared" si="2"/>
        <v>70</v>
      </c>
    </row>
    <row r="72">
      <c r="A72" s="14">
        <v>71.0</v>
      </c>
      <c r="B72" s="58" t="s">
        <v>310</v>
      </c>
      <c r="C72" s="16" t="s">
        <v>311</v>
      </c>
      <c r="D72" s="5" t="str">
        <f t="shared" si="1"/>
        <v>cust_c30</v>
      </c>
      <c r="E72" s="33" t="b">
        <v>1</v>
      </c>
      <c r="F72" s="16" t="s">
        <v>312</v>
      </c>
      <c r="G72" s="16" t="s">
        <v>313</v>
      </c>
      <c r="H72" s="34" t="s">
        <v>309</v>
      </c>
      <c r="I72" s="19">
        <v>0.0</v>
      </c>
      <c r="J72" s="19">
        <v>1.0</v>
      </c>
      <c r="K72" s="35" t="s">
        <v>9</v>
      </c>
      <c r="L72" s="21">
        <f t="shared" si="2"/>
        <v>71</v>
      </c>
    </row>
    <row r="73">
      <c r="A73" s="30">
        <v>72.0</v>
      </c>
      <c r="B73" s="52" t="s">
        <v>315</v>
      </c>
      <c r="C73" s="23" t="s">
        <v>316</v>
      </c>
      <c r="D73" s="5" t="str">
        <f t="shared" si="1"/>
        <v>cust_c31</v>
      </c>
      <c r="E73" s="36" t="b">
        <v>1</v>
      </c>
      <c r="F73" s="23" t="s">
        <v>317</v>
      </c>
      <c r="G73" s="23" t="s">
        <v>318</v>
      </c>
      <c r="H73" s="37" t="s">
        <v>319</v>
      </c>
      <c r="I73" s="26">
        <v>0.0</v>
      </c>
      <c r="J73" s="26">
        <v>1.0</v>
      </c>
      <c r="K73" s="38" t="s">
        <v>4</v>
      </c>
      <c r="L73" s="21">
        <f t="shared" si="2"/>
        <v>72</v>
      </c>
    </row>
    <row r="74">
      <c r="A74" s="14">
        <v>73.0</v>
      </c>
      <c r="B74" s="58" t="s">
        <v>322</v>
      </c>
      <c r="C74" s="16" t="s">
        <v>323</v>
      </c>
      <c r="D74" s="5" t="str">
        <f t="shared" si="1"/>
        <v>cust_c32</v>
      </c>
      <c r="E74" s="33" t="b">
        <v>1</v>
      </c>
      <c r="F74" s="16" t="s">
        <v>324</v>
      </c>
      <c r="G74" s="16" t="s">
        <v>325</v>
      </c>
      <c r="H74" s="34" t="s">
        <v>319</v>
      </c>
      <c r="I74" s="19">
        <v>0.0</v>
      </c>
      <c r="J74" s="19">
        <v>1.0</v>
      </c>
      <c r="K74" s="35" t="s">
        <v>4</v>
      </c>
      <c r="L74" s="21">
        <f t="shared" si="2"/>
        <v>73</v>
      </c>
    </row>
    <row r="75">
      <c r="A75" s="30">
        <v>74.0</v>
      </c>
      <c r="B75" s="52" t="s">
        <v>327</v>
      </c>
      <c r="C75" s="23" t="s">
        <v>329</v>
      </c>
      <c r="D75" s="5" t="str">
        <f t="shared" si="1"/>
        <v>cust_c33</v>
      </c>
      <c r="E75" s="36" t="b">
        <v>1</v>
      </c>
      <c r="F75" s="23" t="s">
        <v>330</v>
      </c>
      <c r="G75" s="23" t="s">
        <v>318</v>
      </c>
      <c r="H75" s="37" t="s">
        <v>319</v>
      </c>
      <c r="I75" s="26">
        <v>0.0</v>
      </c>
      <c r="J75" s="26">
        <v>1.0</v>
      </c>
      <c r="K75" s="38" t="s">
        <v>4</v>
      </c>
      <c r="L75" s="21">
        <f t="shared" si="2"/>
        <v>74</v>
      </c>
    </row>
    <row r="76">
      <c r="A76" s="14">
        <v>75.0</v>
      </c>
      <c r="B76" s="58" t="s">
        <v>331</v>
      </c>
      <c r="C76" s="16" t="s">
        <v>332</v>
      </c>
      <c r="D76" s="5" t="str">
        <f t="shared" si="1"/>
        <v>cust_c34</v>
      </c>
      <c r="E76" s="33" t="b">
        <v>1</v>
      </c>
      <c r="F76" s="16" t="s">
        <v>334</v>
      </c>
      <c r="G76" s="16" t="s">
        <v>123</v>
      </c>
      <c r="H76" s="34" t="s">
        <v>124</v>
      </c>
      <c r="I76" s="19">
        <v>0.0</v>
      </c>
      <c r="J76" s="19">
        <v>1.0</v>
      </c>
      <c r="K76" s="35" t="s">
        <v>4</v>
      </c>
      <c r="L76" s="21">
        <f t="shared" si="2"/>
        <v>75</v>
      </c>
    </row>
    <row r="77">
      <c r="A77" s="30">
        <v>76.0</v>
      </c>
      <c r="B77" s="52" t="s">
        <v>338</v>
      </c>
      <c r="C77" s="23" t="s">
        <v>340</v>
      </c>
      <c r="D77" s="5" t="str">
        <f t="shared" si="1"/>
        <v>cust_c35</v>
      </c>
      <c r="E77" s="36" t="b">
        <v>1</v>
      </c>
      <c r="F77" s="23" t="s">
        <v>342</v>
      </c>
      <c r="G77" s="23" t="s">
        <v>123</v>
      </c>
      <c r="H77" s="37" t="s">
        <v>124</v>
      </c>
      <c r="I77" s="26">
        <v>0.0</v>
      </c>
      <c r="J77" s="26">
        <v>1.0</v>
      </c>
      <c r="K77" s="38" t="s">
        <v>4</v>
      </c>
      <c r="L77" s="21">
        <f t="shared" si="2"/>
        <v>76</v>
      </c>
    </row>
    <row r="78">
      <c r="A78" s="14">
        <v>77.0</v>
      </c>
      <c r="B78" s="58" t="s">
        <v>344</v>
      </c>
      <c r="C78" s="16" t="s">
        <v>345</v>
      </c>
      <c r="D78" s="5" t="str">
        <f t="shared" si="1"/>
        <v>cust_c36</v>
      </c>
      <c r="E78" s="33" t="b">
        <v>1</v>
      </c>
      <c r="F78" s="16" t="s">
        <v>347</v>
      </c>
      <c r="G78" s="16" t="s">
        <v>348</v>
      </c>
      <c r="H78" s="34" t="s">
        <v>349</v>
      </c>
      <c r="I78" s="19">
        <v>0.0</v>
      </c>
      <c r="J78" s="19">
        <v>1.0</v>
      </c>
      <c r="K78" s="35" t="s">
        <v>9</v>
      </c>
      <c r="L78" s="21">
        <f t="shared" si="2"/>
        <v>77</v>
      </c>
    </row>
    <row r="79">
      <c r="A79" s="30">
        <v>78.0</v>
      </c>
      <c r="B79" s="52" t="s">
        <v>355</v>
      </c>
      <c r="C79" s="23" t="s">
        <v>356</v>
      </c>
      <c r="D79" s="5" t="str">
        <f t="shared" si="1"/>
        <v>cust_c37</v>
      </c>
      <c r="E79" s="36" t="b">
        <v>1</v>
      </c>
      <c r="F79" s="23" t="s">
        <v>357</v>
      </c>
      <c r="G79" s="23" t="s">
        <v>358</v>
      </c>
      <c r="H79" s="37" t="s">
        <v>349</v>
      </c>
      <c r="I79" s="26">
        <v>0.0</v>
      </c>
      <c r="J79" s="26">
        <v>1.0</v>
      </c>
      <c r="K79" s="38" t="s">
        <v>9</v>
      </c>
      <c r="L79" s="21">
        <f t="shared" si="2"/>
        <v>78</v>
      </c>
    </row>
    <row r="80">
      <c r="A80" s="14">
        <v>79.0</v>
      </c>
      <c r="B80" s="58" t="s">
        <v>359</v>
      </c>
      <c r="C80" s="16" t="s">
        <v>360</v>
      </c>
      <c r="D80" s="5" t="str">
        <f t="shared" si="1"/>
        <v>cust_c38</v>
      </c>
      <c r="E80" s="33" t="b">
        <v>1</v>
      </c>
      <c r="F80" s="16" t="s">
        <v>361</v>
      </c>
      <c r="G80" s="16" t="s">
        <v>363</v>
      </c>
      <c r="H80" s="34" t="s">
        <v>364</v>
      </c>
      <c r="I80" s="19">
        <v>0.0</v>
      </c>
      <c r="J80" s="19">
        <v>1.0</v>
      </c>
      <c r="K80" s="35" t="s">
        <v>9</v>
      </c>
      <c r="L80" s="21">
        <f t="shared" si="2"/>
        <v>79</v>
      </c>
    </row>
    <row r="81">
      <c r="A81" s="30">
        <v>80.0</v>
      </c>
      <c r="B81" s="52" t="s">
        <v>369</v>
      </c>
      <c r="C81" s="23" t="s">
        <v>370</v>
      </c>
      <c r="D81" s="5" t="str">
        <f t="shared" si="1"/>
        <v>cust_c39</v>
      </c>
      <c r="E81" s="36" t="b">
        <v>1</v>
      </c>
      <c r="F81" s="23" t="s">
        <v>371</v>
      </c>
      <c r="G81" s="23" t="s">
        <v>372</v>
      </c>
      <c r="H81" s="37" t="s">
        <v>364</v>
      </c>
      <c r="I81" s="26">
        <v>0.0</v>
      </c>
      <c r="J81" s="26">
        <v>1.0</v>
      </c>
      <c r="K81" s="38" t="s">
        <v>9</v>
      </c>
      <c r="L81" s="21">
        <f t="shared" si="2"/>
        <v>80</v>
      </c>
    </row>
    <row r="82">
      <c r="A82" s="14">
        <v>81.0</v>
      </c>
      <c r="B82" s="58" t="s">
        <v>376</v>
      </c>
      <c r="C82" s="16" t="s">
        <v>377</v>
      </c>
      <c r="D82" s="5" t="str">
        <f t="shared" si="1"/>
        <v>cust_c40</v>
      </c>
      <c r="E82" s="33" t="b">
        <v>1</v>
      </c>
      <c r="F82" s="16" t="s">
        <v>379</v>
      </c>
      <c r="G82" s="16" t="s">
        <v>380</v>
      </c>
      <c r="H82" s="34" t="s">
        <v>381</v>
      </c>
      <c r="I82" s="19">
        <v>0.0</v>
      </c>
      <c r="J82" s="19">
        <v>1.0</v>
      </c>
      <c r="K82" s="35" t="s">
        <v>9</v>
      </c>
      <c r="L82" s="21">
        <f t="shared" si="2"/>
        <v>81</v>
      </c>
    </row>
    <row r="83">
      <c r="A83" s="30">
        <v>82.0</v>
      </c>
      <c r="B83" s="52" t="s">
        <v>384</v>
      </c>
      <c r="C83" s="23" t="s">
        <v>386</v>
      </c>
      <c r="D83" s="5" t="str">
        <f t="shared" si="1"/>
        <v>cust_c41</v>
      </c>
      <c r="E83" s="36" t="b">
        <v>1</v>
      </c>
      <c r="F83" s="23" t="s">
        <v>387</v>
      </c>
      <c r="G83" s="23" t="s">
        <v>388</v>
      </c>
      <c r="H83" s="37" t="s">
        <v>390</v>
      </c>
      <c r="I83" s="26">
        <v>0.0</v>
      </c>
      <c r="J83" s="26">
        <v>1.0</v>
      </c>
      <c r="K83" s="38" t="s">
        <v>9</v>
      </c>
      <c r="L83" s="21">
        <f t="shared" si="2"/>
        <v>82</v>
      </c>
    </row>
    <row r="84">
      <c r="A84" s="14">
        <v>83.0</v>
      </c>
      <c r="B84" s="58" t="s">
        <v>391</v>
      </c>
      <c r="C84" s="16" t="s">
        <v>392</v>
      </c>
      <c r="D84" s="5" t="str">
        <f t="shared" si="1"/>
        <v>cust_c42</v>
      </c>
      <c r="E84" s="33" t="b">
        <v>1</v>
      </c>
      <c r="F84" s="16" t="s">
        <v>393</v>
      </c>
      <c r="G84" s="16" t="s">
        <v>388</v>
      </c>
      <c r="H84" s="34" t="s">
        <v>390</v>
      </c>
      <c r="I84" s="19">
        <v>0.0</v>
      </c>
      <c r="J84" s="19">
        <v>1.0</v>
      </c>
      <c r="K84" s="35" t="s">
        <v>9</v>
      </c>
      <c r="L84" s="21">
        <f t="shared" si="2"/>
        <v>83</v>
      </c>
    </row>
    <row r="85">
      <c r="A85" s="30">
        <v>84.0</v>
      </c>
      <c r="B85" s="52" t="s">
        <v>395</v>
      </c>
      <c r="C85" s="23" t="s">
        <v>396</v>
      </c>
      <c r="D85" s="5" t="str">
        <f t="shared" si="1"/>
        <v>cust_c43</v>
      </c>
      <c r="E85" s="36" t="b">
        <v>1</v>
      </c>
      <c r="F85" s="23" t="s">
        <v>397</v>
      </c>
      <c r="G85" s="23" t="s">
        <v>398</v>
      </c>
      <c r="H85" s="37" t="s">
        <v>400</v>
      </c>
      <c r="I85" s="26">
        <v>0.0</v>
      </c>
      <c r="J85" s="26">
        <v>1.0</v>
      </c>
      <c r="K85" s="38" t="s">
        <v>9</v>
      </c>
      <c r="L85" s="21">
        <f t="shared" si="2"/>
        <v>84</v>
      </c>
    </row>
    <row r="86">
      <c r="A86" s="14">
        <v>85.0</v>
      </c>
      <c r="B86" s="58" t="s">
        <v>403</v>
      </c>
      <c r="C86" s="16" t="s">
        <v>404</v>
      </c>
      <c r="D86" s="5" t="str">
        <f t="shared" si="1"/>
        <v>cust_c44</v>
      </c>
      <c r="E86" s="33" t="b">
        <v>1</v>
      </c>
      <c r="F86" s="16" t="s">
        <v>405</v>
      </c>
      <c r="G86" s="16" t="s">
        <v>406</v>
      </c>
      <c r="H86" s="34" t="s">
        <v>407</v>
      </c>
      <c r="I86" s="19">
        <v>0.0</v>
      </c>
      <c r="J86" s="19">
        <v>1.0</v>
      </c>
      <c r="K86" s="35" t="s">
        <v>9</v>
      </c>
      <c r="L86" s="21">
        <f t="shared" si="2"/>
        <v>85</v>
      </c>
    </row>
    <row r="87">
      <c r="A87" s="30">
        <v>86.0</v>
      </c>
      <c r="B87" s="52" t="s">
        <v>409</v>
      </c>
      <c r="C87" s="23" t="s">
        <v>410</v>
      </c>
      <c r="D87" s="5" t="str">
        <f t="shared" si="1"/>
        <v>cust_c45</v>
      </c>
      <c r="E87" s="36" t="b">
        <v>1</v>
      </c>
      <c r="F87" s="23" t="s">
        <v>412</v>
      </c>
      <c r="G87" s="23" t="s">
        <v>413</v>
      </c>
      <c r="H87" s="37" t="s">
        <v>414</v>
      </c>
      <c r="I87" s="26">
        <v>0.0</v>
      </c>
      <c r="J87" s="26">
        <v>1.0</v>
      </c>
      <c r="K87" s="38" t="s">
        <v>9</v>
      </c>
      <c r="L87" s="21">
        <f t="shared" si="2"/>
        <v>86</v>
      </c>
    </row>
    <row r="88">
      <c r="A88" s="14">
        <v>87.0</v>
      </c>
      <c r="B88" s="58" t="s">
        <v>417</v>
      </c>
      <c r="C88" s="16" t="s">
        <v>418</v>
      </c>
      <c r="D88" s="5" t="str">
        <f t="shared" si="1"/>
        <v>cust_c46</v>
      </c>
      <c r="E88" s="33" t="b">
        <v>1</v>
      </c>
      <c r="F88" s="16" t="s">
        <v>419</v>
      </c>
      <c r="G88" s="16" t="s">
        <v>420</v>
      </c>
      <c r="H88" s="34" t="s">
        <v>421</v>
      </c>
      <c r="I88" s="19">
        <v>0.0</v>
      </c>
      <c r="J88" s="19">
        <v>1.0</v>
      </c>
      <c r="K88" s="35" t="s">
        <v>9</v>
      </c>
      <c r="L88" s="21">
        <f t="shared" si="2"/>
        <v>87</v>
      </c>
    </row>
    <row r="89">
      <c r="A89" s="30">
        <v>88.0</v>
      </c>
      <c r="B89" s="52" t="s">
        <v>428</v>
      </c>
      <c r="C89" s="23" t="s">
        <v>429</v>
      </c>
      <c r="D89" s="5" t="str">
        <f t="shared" si="1"/>
        <v>cust_c47</v>
      </c>
      <c r="E89" s="36" t="b">
        <v>1</v>
      </c>
      <c r="F89" s="23" t="s">
        <v>431</v>
      </c>
      <c r="G89" s="23" t="s">
        <v>432</v>
      </c>
      <c r="H89" s="37" t="s">
        <v>433</v>
      </c>
      <c r="I89" s="26">
        <v>0.0</v>
      </c>
      <c r="J89" s="26">
        <v>1.0</v>
      </c>
      <c r="K89" s="38" t="s">
        <v>9</v>
      </c>
      <c r="L89" s="21">
        <f t="shared" si="2"/>
        <v>88</v>
      </c>
    </row>
    <row r="90">
      <c r="A90" s="14">
        <v>89.0</v>
      </c>
      <c r="B90" s="58" t="s">
        <v>439</v>
      </c>
      <c r="C90" s="16" t="s">
        <v>440</v>
      </c>
      <c r="D90" s="5" t="str">
        <f t="shared" si="1"/>
        <v>cust_c48</v>
      </c>
      <c r="E90" s="33" t="b">
        <v>1</v>
      </c>
      <c r="F90" s="16" t="s">
        <v>441</v>
      </c>
      <c r="G90" s="16" t="s">
        <v>442</v>
      </c>
      <c r="H90" s="34" t="s">
        <v>444</v>
      </c>
      <c r="I90" s="19">
        <v>0.0</v>
      </c>
      <c r="J90" s="19">
        <v>1.0</v>
      </c>
      <c r="K90" s="35" t="s">
        <v>9</v>
      </c>
      <c r="L90" s="21">
        <f t="shared" si="2"/>
        <v>89</v>
      </c>
    </row>
    <row r="91">
      <c r="A91" s="30">
        <v>90.0</v>
      </c>
      <c r="B91" s="52" t="s">
        <v>452</v>
      </c>
      <c r="C91" s="23" t="s">
        <v>453</v>
      </c>
      <c r="D91" s="5" t="str">
        <f t="shared" si="1"/>
        <v>cust_c49</v>
      </c>
      <c r="E91" s="36" t="b">
        <v>1</v>
      </c>
      <c r="F91" s="23" t="s">
        <v>454</v>
      </c>
      <c r="G91" s="23" t="s">
        <v>456</v>
      </c>
      <c r="H91" s="37" t="s">
        <v>457</v>
      </c>
      <c r="I91" s="26">
        <v>0.0</v>
      </c>
      <c r="J91" s="26">
        <v>1.0</v>
      </c>
      <c r="K91" s="38" t="s">
        <v>9</v>
      </c>
      <c r="L91" s="21">
        <f t="shared" si="2"/>
        <v>90</v>
      </c>
    </row>
    <row r="92">
      <c r="A92" s="14">
        <v>91.0</v>
      </c>
      <c r="B92" s="58" t="s">
        <v>460</v>
      </c>
      <c r="C92" s="16" t="s">
        <v>461</v>
      </c>
      <c r="D92" s="5" t="str">
        <f t="shared" si="1"/>
        <v>cust_c50</v>
      </c>
      <c r="E92" s="33" t="b">
        <v>1</v>
      </c>
      <c r="F92" s="16" t="s">
        <v>462</v>
      </c>
      <c r="G92" s="16" t="s">
        <v>464</v>
      </c>
      <c r="H92" s="34" t="s">
        <v>465</v>
      </c>
      <c r="I92" s="19">
        <v>0.0</v>
      </c>
      <c r="J92" s="19">
        <v>1.0</v>
      </c>
      <c r="K92" s="35" t="s">
        <v>4</v>
      </c>
      <c r="L92" s="21">
        <f t="shared" si="2"/>
        <v>91</v>
      </c>
    </row>
    <row r="93">
      <c r="A93" s="30">
        <v>92.0</v>
      </c>
      <c r="B93" s="52" t="s">
        <v>469</v>
      </c>
      <c r="C93" s="23" t="s">
        <v>470</v>
      </c>
      <c r="D93" s="5" t="str">
        <f t="shared" si="1"/>
        <v>cust_c51</v>
      </c>
      <c r="E93" s="36" t="b">
        <v>1</v>
      </c>
      <c r="F93" s="23" t="s">
        <v>472</v>
      </c>
      <c r="G93" s="23" t="s">
        <v>473</v>
      </c>
      <c r="H93" s="37" t="s">
        <v>474</v>
      </c>
      <c r="I93" s="26">
        <v>0.0</v>
      </c>
      <c r="J93" s="26">
        <v>1.0</v>
      </c>
      <c r="K93" s="38" t="s">
        <v>4</v>
      </c>
      <c r="L93" s="21">
        <f t="shared" si="2"/>
        <v>92</v>
      </c>
    </row>
    <row r="94">
      <c r="A94" s="14">
        <v>93.0</v>
      </c>
      <c r="B94" s="58" t="s">
        <v>476</v>
      </c>
      <c r="C94" s="16" t="s">
        <v>477</v>
      </c>
      <c r="D94" s="5" t="str">
        <f t="shared" si="1"/>
        <v>cust_c52</v>
      </c>
      <c r="E94" s="33" t="b">
        <v>1</v>
      </c>
      <c r="F94" s="16" t="s">
        <v>478</v>
      </c>
      <c r="G94" s="16" t="s">
        <v>479</v>
      </c>
      <c r="H94" s="34" t="s">
        <v>480</v>
      </c>
      <c r="I94" s="19">
        <v>0.0</v>
      </c>
      <c r="J94" s="19">
        <v>1.0</v>
      </c>
      <c r="K94" s="35" t="s">
        <v>9</v>
      </c>
      <c r="L94" s="21">
        <f t="shared" si="2"/>
        <v>93</v>
      </c>
    </row>
    <row r="95">
      <c r="A95" s="30">
        <v>94.0</v>
      </c>
      <c r="B95" s="52" t="s">
        <v>484</v>
      </c>
      <c r="C95" s="23" t="s">
        <v>486</v>
      </c>
      <c r="D95" s="5" t="str">
        <f t="shared" si="1"/>
        <v>cust_c53</v>
      </c>
      <c r="E95" s="36" t="b">
        <v>1</v>
      </c>
      <c r="F95" s="23" t="s">
        <v>488</v>
      </c>
      <c r="G95" s="23" t="s">
        <v>489</v>
      </c>
      <c r="H95" s="37" t="s">
        <v>490</v>
      </c>
      <c r="I95" s="26">
        <v>0.0</v>
      </c>
      <c r="J95" s="26">
        <v>1.0</v>
      </c>
      <c r="K95" s="38" t="s">
        <v>9</v>
      </c>
      <c r="L95" s="21">
        <f t="shared" si="2"/>
        <v>94</v>
      </c>
    </row>
    <row r="96">
      <c r="A96" s="14">
        <v>95.0</v>
      </c>
      <c r="B96" s="58" t="s">
        <v>493</v>
      </c>
      <c r="C96" s="16" t="s">
        <v>494</v>
      </c>
      <c r="D96" s="5" t="str">
        <f t="shared" si="1"/>
        <v>cust_c54</v>
      </c>
      <c r="E96" s="33" t="b">
        <v>1</v>
      </c>
      <c r="F96" s="16" t="s">
        <v>495</v>
      </c>
      <c r="G96" s="16" t="s">
        <v>496</v>
      </c>
      <c r="H96" s="34" t="s">
        <v>497</v>
      </c>
      <c r="I96" s="19">
        <v>0.0</v>
      </c>
      <c r="J96" s="19">
        <v>1.0</v>
      </c>
      <c r="K96" s="35" t="s">
        <v>9</v>
      </c>
      <c r="L96" s="21">
        <f t="shared" si="2"/>
        <v>95</v>
      </c>
    </row>
    <row r="97">
      <c r="A97" s="30">
        <v>96.0</v>
      </c>
      <c r="B97" s="52" t="s">
        <v>502</v>
      </c>
      <c r="C97" s="23" t="s">
        <v>503</v>
      </c>
      <c r="D97" s="5" t="str">
        <f t="shared" si="1"/>
        <v>cust_c55</v>
      </c>
      <c r="E97" s="36" t="b">
        <v>1</v>
      </c>
      <c r="F97" s="23" t="s">
        <v>505</v>
      </c>
      <c r="G97" s="23" t="s">
        <v>506</v>
      </c>
      <c r="H97" s="37" t="s">
        <v>497</v>
      </c>
      <c r="I97" s="26">
        <v>0.0</v>
      </c>
      <c r="J97" s="26">
        <v>1.0</v>
      </c>
      <c r="K97" s="38" t="s">
        <v>9</v>
      </c>
      <c r="L97" s="21">
        <f t="shared" si="2"/>
        <v>96</v>
      </c>
    </row>
    <row r="98">
      <c r="A98" s="14">
        <v>97.0</v>
      </c>
      <c r="B98" s="58" t="s">
        <v>508</v>
      </c>
      <c r="C98" s="16" t="s">
        <v>509</v>
      </c>
      <c r="D98" s="5" t="str">
        <f t="shared" si="1"/>
        <v>cust_c56</v>
      </c>
      <c r="E98" s="33" t="b">
        <v>1</v>
      </c>
      <c r="F98" s="16" t="s">
        <v>510</v>
      </c>
      <c r="G98" s="16" t="s">
        <v>511</v>
      </c>
      <c r="H98" s="34" t="s">
        <v>512</v>
      </c>
      <c r="I98" s="19">
        <v>0.0</v>
      </c>
      <c r="J98" s="19">
        <v>1.0</v>
      </c>
      <c r="K98" s="35" t="s">
        <v>9</v>
      </c>
      <c r="L98" s="21">
        <f t="shared" si="2"/>
        <v>97</v>
      </c>
    </row>
    <row r="99">
      <c r="A99" s="30">
        <v>98.0</v>
      </c>
      <c r="B99" s="52" t="s">
        <v>517</v>
      </c>
      <c r="C99" s="23" t="s">
        <v>518</v>
      </c>
      <c r="D99" s="5" t="str">
        <f t="shared" si="1"/>
        <v>cust_c57</v>
      </c>
      <c r="E99" s="36" t="b">
        <v>1</v>
      </c>
      <c r="F99" s="23" t="s">
        <v>520</v>
      </c>
      <c r="G99" s="23" t="s">
        <v>521</v>
      </c>
      <c r="H99" s="37" t="s">
        <v>512</v>
      </c>
      <c r="I99" s="26">
        <v>0.0</v>
      </c>
      <c r="J99" s="26">
        <v>1.0</v>
      </c>
      <c r="K99" s="38" t="s">
        <v>9</v>
      </c>
      <c r="L99" s="21">
        <f t="shared" si="2"/>
        <v>98</v>
      </c>
    </row>
    <row r="100">
      <c r="A100" s="14">
        <v>99.0</v>
      </c>
      <c r="B100" s="58" t="s">
        <v>523</v>
      </c>
      <c r="C100" s="16" t="s">
        <v>524</v>
      </c>
      <c r="D100" s="5" t="str">
        <f t="shared" si="1"/>
        <v>cust_c58</v>
      </c>
      <c r="E100" s="33" t="b">
        <v>1</v>
      </c>
      <c r="F100" s="16" t="s">
        <v>525</v>
      </c>
      <c r="G100" s="16" t="s">
        <v>526</v>
      </c>
      <c r="H100" s="34" t="s">
        <v>527</v>
      </c>
      <c r="I100" s="19">
        <v>0.0</v>
      </c>
      <c r="J100" s="19">
        <v>1.0</v>
      </c>
      <c r="K100" s="35" t="s">
        <v>9</v>
      </c>
      <c r="L100" s="21">
        <f t="shared" si="2"/>
        <v>99</v>
      </c>
    </row>
    <row r="101">
      <c r="A101" s="30">
        <v>100.0</v>
      </c>
      <c r="B101" s="52" t="s">
        <v>531</v>
      </c>
      <c r="C101" s="23" t="s">
        <v>532</v>
      </c>
      <c r="D101" s="5" t="str">
        <f t="shared" si="1"/>
        <v>cust_c59</v>
      </c>
      <c r="E101" s="36" t="b">
        <v>1</v>
      </c>
      <c r="F101" s="23" t="s">
        <v>533</v>
      </c>
      <c r="G101" s="23" t="s">
        <v>534</v>
      </c>
      <c r="H101" s="37" t="s">
        <v>536</v>
      </c>
      <c r="I101" s="26">
        <v>0.0</v>
      </c>
      <c r="J101" s="26">
        <v>1.0</v>
      </c>
      <c r="K101" s="38" t="s">
        <v>9</v>
      </c>
      <c r="L101" s="21">
        <f t="shared" si="2"/>
        <v>100</v>
      </c>
    </row>
    <row r="102">
      <c r="A102" s="14">
        <v>101.0</v>
      </c>
      <c r="B102" s="58" t="s">
        <v>540</v>
      </c>
      <c r="C102" s="16" t="s">
        <v>541</v>
      </c>
      <c r="D102" s="5" t="str">
        <f t="shared" si="1"/>
        <v>cust_c60</v>
      </c>
      <c r="E102" s="33" t="b">
        <v>1</v>
      </c>
      <c r="F102" s="16" t="s">
        <v>542</v>
      </c>
      <c r="G102" s="16" t="s">
        <v>543</v>
      </c>
      <c r="H102" s="34" t="s">
        <v>544</v>
      </c>
      <c r="I102" s="19">
        <v>0.0</v>
      </c>
      <c r="J102" s="19">
        <v>1.0</v>
      </c>
      <c r="K102" s="35" t="s">
        <v>9</v>
      </c>
      <c r="L102" s="21">
        <f t="shared" si="2"/>
        <v>101</v>
      </c>
    </row>
    <row r="103">
      <c r="A103" s="30">
        <v>102.0</v>
      </c>
      <c r="B103" s="52" t="s">
        <v>546</v>
      </c>
      <c r="C103" s="23" t="s">
        <v>547</v>
      </c>
      <c r="D103" s="5" t="str">
        <f t="shared" si="1"/>
        <v>cust_i01</v>
      </c>
      <c r="E103" s="36" t="b">
        <v>0</v>
      </c>
      <c r="F103" s="23" t="s">
        <v>548</v>
      </c>
      <c r="G103" s="23" t="s">
        <v>216</v>
      </c>
      <c r="H103" s="37" t="s">
        <v>84</v>
      </c>
      <c r="I103" s="26">
        <v>0.0</v>
      </c>
      <c r="J103" s="26">
        <v>1.0</v>
      </c>
      <c r="K103" s="38" t="s">
        <v>9</v>
      </c>
      <c r="L103" s="21">
        <f t="shared" si="2"/>
        <v>102</v>
      </c>
    </row>
    <row r="104">
      <c r="A104" s="14">
        <v>103.0</v>
      </c>
      <c r="B104" s="58" t="s">
        <v>549</v>
      </c>
      <c r="C104" s="16" t="s">
        <v>550</v>
      </c>
      <c r="D104" s="5" t="str">
        <f t="shared" si="1"/>
        <v>cust_i02</v>
      </c>
      <c r="E104" s="33" t="b">
        <v>0</v>
      </c>
      <c r="F104" s="16" t="s">
        <v>548</v>
      </c>
      <c r="G104" s="16" t="s">
        <v>216</v>
      </c>
      <c r="H104" s="34" t="s">
        <v>84</v>
      </c>
      <c r="I104" s="19">
        <v>0.0</v>
      </c>
      <c r="J104" s="19">
        <v>1.0</v>
      </c>
      <c r="K104" s="35" t="s">
        <v>9</v>
      </c>
      <c r="L104" s="21">
        <f t="shared" si="2"/>
        <v>103</v>
      </c>
    </row>
    <row r="105">
      <c r="A105" s="30">
        <v>104.0</v>
      </c>
      <c r="B105" s="52" t="s">
        <v>551</v>
      </c>
      <c r="C105" s="23" t="s">
        <v>552</v>
      </c>
      <c r="D105" s="5" t="str">
        <f t="shared" si="1"/>
        <v>cust_i03</v>
      </c>
      <c r="E105" s="36" t="b">
        <v>0</v>
      </c>
      <c r="F105" s="23" t="s">
        <v>554</v>
      </c>
      <c r="G105" s="23" t="s">
        <v>83</v>
      </c>
      <c r="H105" s="37" t="s">
        <v>84</v>
      </c>
      <c r="I105" s="26">
        <v>0.0</v>
      </c>
      <c r="J105" s="26">
        <v>1.0</v>
      </c>
      <c r="K105" s="38" t="s">
        <v>9</v>
      </c>
      <c r="L105" s="21">
        <f t="shared" si="2"/>
        <v>104</v>
      </c>
    </row>
    <row r="106">
      <c r="A106" s="14">
        <v>105.0</v>
      </c>
      <c r="B106" s="58" t="s">
        <v>555</v>
      </c>
      <c r="C106" s="16" t="s">
        <v>556</v>
      </c>
      <c r="D106" s="5" t="str">
        <f t="shared" si="1"/>
        <v>cust_i04</v>
      </c>
      <c r="E106" s="33" t="b">
        <v>0</v>
      </c>
      <c r="F106" s="16" t="s">
        <v>558</v>
      </c>
      <c r="G106" s="16" t="s">
        <v>559</v>
      </c>
      <c r="H106" s="34" t="s">
        <v>84</v>
      </c>
      <c r="I106" s="19">
        <v>0.0</v>
      </c>
      <c r="J106" s="19">
        <v>1.0</v>
      </c>
      <c r="K106" s="35" t="s">
        <v>9</v>
      </c>
      <c r="L106" s="21">
        <f t="shared" si="2"/>
        <v>105</v>
      </c>
    </row>
    <row r="107">
      <c r="A107" s="30">
        <v>106.0</v>
      </c>
      <c r="B107" s="52" t="s">
        <v>562</v>
      </c>
      <c r="C107" s="23" t="s">
        <v>563</v>
      </c>
      <c r="D107" s="5" t="str">
        <f t="shared" si="1"/>
        <v>cust_i05</v>
      </c>
      <c r="E107" s="36" t="b">
        <v>0</v>
      </c>
      <c r="F107" s="23" t="s">
        <v>564</v>
      </c>
      <c r="G107" s="23" t="s">
        <v>198</v>
      </c>
      <c r="H107" s="37" t="s">
        <v>84</v>
      </c>
      <c r="I107" s="26">
        <v>0.0</v>
      </c>
      <c r="J107" s="26">
        <v>1.0</v>
      </c>
      <c r="K107" s="38" t="s">
        <v>9</v>
      </c>
      <c r="L107" s="21">
        <f t="shared" si="2"/>
        <v>106</v>
      </c>
    </row>
    <row r="108">
      <c r="A108" s="14">
        <v>107.0</v>
      </c>
      <c r="B108" s="58" t="s">
        <v>565</v>
      </c>
      <c r="C108" s="16" t="s">
        <v>566</v>
      </c>
      <c r="D108" s="5" t="str">
        <f t="shared" si="1"/>
        <v>cust_i06</v>
      </c>
      <c r="E108" s="33" t="b">
        <v>0</v>
      </c>
      <c r="F108" s="16" t="s">
        <v>567</v>
      </c>
      <c r="G108" s="16" t="s">
        <v>198</v>
      </c>
      <c r="H108" s="34" t="s">
        <v>84</v>
      </c>
      <c r="I108" s="19">
        <v>0.0</v>
      </c>
      <c r="J108" s="19">
        <v>1.0</v>
      </c>
      <c r="K108" s="35" t="s">
        <v>9</v>
      </c>
      <c r="L108" s="21">
        <f t="shared" si="2"/>
        <v>107</v>
      </c>
    </row>
    <row r="109">
      <c r="A109" s="30">
        <v>108.0</v>
      </c>
      <c r="B109" s="52" t="s">
        <v>569</v>
      </c>
      <c r="C109" s="23" t="s">
        <v>570</v>
      </c>
      <c r="D109" s="5" t="str">
        <f t="shared" si="1"/>
        <v>cust_i07</v>
      </c>
      <c r="E109" s="36" t="b">
        <v>0</v>
      </c>
      <c r="F109" s="23" t="s">
        <v>571</v>
      </c>
      <c r="G109" s="23" t="s">
        <v>573</v>
      </c>
      <c r="H109" s="37" t="s">
        <v>84</v>
      </c>
      <c r="I109" s="26">
        <v>0.0</v>
      </c>
      <c r="J109" s="26">
        <v>1.0</v>
      </c>
      <c r="K109" s="38" t="s">
        <v>9</v>
      </c>
      <c r="L109" s="21">
        <f t="shared" si="2"/>
        <v>108</v>
      </c>
    </row>
    <row r="110">
      <c r="A110" s="14">
        <v>109.0</v>
      </c>
      <c r="B110" s="58" t="s">
        <v>574</v>
      </c>
      <c r="C110" s="16" t="s">
        <v>575</v>
      </c>
      <c r="D110" s="5" t="str">
        <f t="shared" si="1"/>
        <v>cust_i08</v>
      </c>
      <c r="E110" s="33" t="b">
        <v>0</v>
      </c>
      <c r="F110" s="16" t="s">
        <v>571</v>
      </c>
      <c r="G110" s="16" t="s">
        <v>573</v>
      </c>
      <c r="H110" s="34" t="s">
        <v>84</v>
      </c>
      <c r="I110" s="19">
        <v>0.0</v>
      </c>
      <c r="J110" s="19">
        <v>1.0</v>
      </c>
      <c r="K110" s="35" t="s">
        <v>9</v>
      </c>
      <c r="L110" s="21">
        <f t="shared" si="2"/>
        <v>109</v>
      </c>
    </row>
    <row r="111">
      <c r="A111" s="30">
        <v>110.0</v>
      </c>
      <c r="B111" s="52" t="s">
        <v>577</v>
      </c>
      <c r="C111" s="23" t="s">
        <v>578</v>
      </c>
      <c r="D111" s="5" t="str">
        <f t="shared" si="1"/>
        <v>cust_i09</v>
      </c>
      <c r="E111" s="36" t="b">
        <v>0</v>
      </c>
      <c r="F111" s="23" t="s">
        <v>571</v>
      </c>
      <c r="G111" s="23" t="s">
        <v>573</v>
      </c>
      <c r="H111" s="37" t="s">
        <v>84</v>
      </c>
      <c r="I111" s="26">
        <v>0.0</v>
      </c>
      <c r="J111" s="26">
        <v>1.0</v>
      </c>
      <c r="K111" s="38" t="s">
        <v>9</v>
      </c>
      <c r="L111" s="21">
        <f t="shared" si="2"/>
        <v>110</v>
      </c>
    </row>
    <row r="112">
      <c r="A112" s="14">
        <v>111.0</v>
      </c>
      <c r="B112" s="58" t="s">
        <v>581</v>
      </c>
      <c r="C112" s="16" t="s">
        <v>582</v>
      </c>
      <c r="D112" s="5" t="str">
        <f t="shared" si="1"/>
        <v>cust_i10</v>
      </c>
      <c r="E112" s="33" t="b">
        <v>0</v>
      </c>
      <c r="F112" s="16" t="s">
        <v>583</v>
      </c>
      <c r="G112" s="16" t="s">
        <v>83</v>
      </c>
      <c r="H112" s="34" t="s">
        <v>84</v>
      </c>
      <c r="I112" s="19">
        <v>0.0</v>
      </c>
      <c r="J112" s="19">
        <v>1.0</v>
      </c>
      <c r="K112" s="35" t="s">
        <v>9</v>
      </c>
      <c r="L112" s="21">
        <f t="shared" si="2"/>
        <v>111</v>
      </c>
    </row>
    <row r="113">
      <c r="A113" s="30">
        <v>112.0</v>
      </c>
      <c r="B113" s="52" t="s">
        <v>585</v>
      </c>
      <c r="C113" s="23" t="s">
        <v>586</v>
      </c>
      <c r="D113" s="5" t="str">
        <f t="shared" si="1"/>
        <v>cust_i11</v>
      </c>
      <c r="E113" s="36" t="b">
        <v>0</v>
      </c>
      <c r="F113" s="23" t="s">
        <v>588</v>
      </c>
      <c r="G113" s="23" t="s">
        <v>83</v>
      </c>
      <c r="H113" s="37" t="s">
        <v>84</v>
      </c>
      <c r="I113" s="26">
        <v>0.0</v>
      </c>
      <c r="J113" s="26">
        <v>1.0</v>
      </c>
      <c r="K113" s="38" t="s">
        <v>9</v>
      </c>
      <c r="L113" s="21">
        <f t="shared" si="2"/>
        <v>112</v>
      </c>
    </row>
    <row r="114">
      <c r="A114" s="14">
        <v>113.0</v>
      </c>
      <c r="B114" s="58" t="s">
        <v>589</v>
      </c>
      <c r="C114" s="16" t="s">
        <v>590</v>
      </c>
      <c r="D114" s="5" t="str">
        <f t="shared" si="1"/>
        <v>cust_i12</v>
      </c>
      <c r="E114" s="33" t="b">
        <v>0</v>
      </c>
      <c r="F114" s="16" t="s">
        <v>564</v>
      </c>
      <c r="G114" s="16" t="s">
        <v>198</v>
      </c>
      <c r="H114" s="34" t="s">
        <v>84</v>
      </c>
      <c r="I114" s="19">
        <v>0.0</v>
      </c>
      <c r="J114" s="19">
        <v>1.0</v>
      </c>
      <c r="K114" s="35" t="s">
        <v>9</v>
      </c>
      <c r="L114" s="21">
        <f t="shared" si="2"/>
        <v>113</v>
      </c>
    </row>
    <row r="115">
      <c r="A115" s="30">
        <v>114.0</v>
      </c>
      <c r="B115" s="52" t="s">
        <v>593</v>
      </c>
      <c r="C115" s="23" t="s">
        <v>594</v>
      </c>
      <c r="D115" s="5" t="str">
        <f t="shared" si="1"/>
        <v>cust_i13</v>
      </c>
      <c r="E115" s="36" t="b">
        <v>0</v>
      </c>
      <c r="F115" s="23" t="s">
        <v>595</v>
      </c>
      <c r="G115" s="23" t="s">
        <v>198</v>
      </c>
      <c r="H115" s="37" t="s">
        <v>84</v>
      </c>
      <c r="I115" s="26">
        <v>0.0</v>
      </c>
      <c r="J115" s="26">
        <v>1.0</v>
      </c>
      <c r="K115" s="38" t="s">
        <v>9</v>
      </c>
      <c r="L115" s="21">
        <f t="shared" si="2"/>
        <v>114</v>
      </c>
    </row>
    <row r="116">
      <c r="A116" s="14">
        <v>115.0</v>
      </c>
      <c r="B116" s="58" t="s">
        <v>597</v>
      </c>
      <c r="C116" s="16" t="s">
        <v>600</v>
      </c>
      <c r="D116" s="5" t="str">
        <f t="shared" si="1"/>
        <v>cust_i14</v>
      </c>
      <c r="E116" s="33" t="b">
        <v>0</v>
      </c>
      <c r="F116" s="16" t="s">
        <v>601</v>
      </c>
      <c r="G116" s="16" t="s">
        <v>198</v>
      </c>
      <c r="H116" s="34" t="s">
        <v>84</v>
      </c>
      <c r="I116" s="19">
        <v>0.0</v>
      </c>
      <c r="J116" s="19">
        <v>1.0</v>
      </c>
      <c r="K116" s="35" t="s">
        <v>9</v>
      </c>
      <c r="L116" s="21">
        <f t="shared" si="2"/>
        <v>115</v>
      </c>
    </row>
    <row r="117">
      <c r="A117" s="30">
        <v>116.0</v>
      </c>
      <c r="B117" s="52" t="s">
        <v>602</v>
      </c>
      <c r="C117" s="23" t="s">
        <v>604</v>
      </c>
      <c r="D117" s="5" t="str">
        <f t="shared" si="1"/>
        <v>cust_i15</v>
      </c>
      <c r="E117" s="36" t="b">
        <v>0</v>
      </c>
      <c r="F117" s="23" t="s">
        <v>606</v>
      </c>
      <c r="G117" s="23" t="s">
        <v>198</v>
      </c>
      <c r="H117" s="37" t="s">
        <v>84</v>
      </c>
      <c r="I117" s="26">
        <v>0.0</v>
      </c>
      <c r="J117" s="26">
        <v>1.0</v>
      </c>
      <c r="K117" s="38" t="s">
        <v>9</v>
      </c>
      <c r="L117" s="21">
        <f t="shared" si="2"/>
        <v>116</v>
      </c>
    </row>
    <row r="118">
      <c r="A118" s="14">
        <v>117.0</v>
      </c>
      <c r="B118" s="58" t="s">
        <v>608</v>
      </c>
      <c r="C118" s="16" t="s">
        <v>609</v>
      </c>
      <c r="D118" s="5" t="str">
        <f t="shared" si="1"/>
        <v>cust_i16</v>
      </c>
      <c r="E118" s="33" t="b">
        <v>0</v>
      </c>
      <c r="F118" s="16" t="s">
        <v>611</v>
      </c>
      <c r="G118" s="16" t="s">
        <v>198</v>
      </c>
      <c r="H118" s="34" t="s">
        <v>84</v>
      </c>
      <c r="I118" s="19">
        <v>0.0</v>
      </c>
      <c r="J118" s="19">
        <v>1.0</v>
      </c>
      <c r="K118" s="35" t="s">
        <v>9</v>
      </c>
      <c r="L118" s="21">
        <f t="shared" si="2"/>
        <v>117</v>
      </c>
    </row>
    <row r="119">
      <c r="A119" s="30">
        <v>118.0</v>
      </c>
      <c r="B119" s="52" t="s">
        <v>612</v>
      </c>
      <c r="C119" s="23" t="s">
        <v>613</v>
      </c>
      <c r="D119" s="5" t="str">
        <f t="shared" si="1"/>
        <v>cust_i17</v>
      </c>
      <c r="E119" s="36" t="b">
        <v>0</v>
      </c>
      <c r="F119" s="23" t="s">
        <v>614</v>
      </c>
      <c r="G119" s="23" t="s">
        <v>198</v>
      </c>
      <c r="H119" s="37" t="s">
        <v>84</v>
      </c>
      <c r="I119" s="26">
        <v>0.0</v>
      </c>
      <c r="J119" s="26">
        <v>1.0</v>
      </c>
      <c r="K119" s="38" t="s">
        <v>9</v>
      </c>
      <c r="L119" s="21">
        <f t="shared" si="2"/>
        <v>118</v>
      </c>
    </row>
    <row r="120">
      <c r="A120" s="14">
        <v>119.0</v>
      </c>
      <c r="B120" s="58" t="s">
        <v>615</v>
      </c>
      <c r="C120" s="16" t="s">
        <v>616</v>
      </c>
      <c r="D120" s="5" t="str">
        <f t="shared" si="1"/>
        <v>cust_i18</v>
      </c>
      <c r="E120" s="33" t="b">
        <v>0</v>
      </c>
      <c r="F120" s="16" t="s">
        <v>617</v>
      </c>
      <c r="G120" s="16" t="s">
        <v>198</v>
      </c>
      <c r="H120" s="34" t="s">
        <v>84</v>
      </c>
      <c r="I120" s="19">
        <v>0.0</v>
      </c>
      <c r="J120" s="19">
        <v>1.0</v>
      </c>
      <c r="K120" s="35" t="s">
        <v>9</v>
      </c>
      <c r="L120" s="21">
        <f t="shared" si="2"/>
        <v>119</v>
      </c>
    </row>
    <row r="121">
      <c r="A121" s="30">
        <v>120.0</v>
      </c>
      <c r="B121" s="52" t="s">
        <v>618</v>
      </c>
      <c r="C121" s="23" t="s">
        <v>619</v>
      </c>
      <c r="D121" s="5" t="str">
        <f t="shared" si="1"/>
        <v>cust_i19</v>
      </c>
      <c r="E121" s="36" t="b">
        <v>0</v>
      </c>
      <c r="F121" s="23" t="s">
        <v>620</v>
      </c>
      <c r="G121" s="23" t="s">
        <v>198</v>
      </c>
      <c r="H121" s="37" t="s">
        <v>84</v>
      </c>
      <c r="I121" s="26">
        <v>0.0</v>
      </c>
      <c r="J121" s="26">
        <v>1.0</v>
      </c>
      <c r="K121" s="38" t="s">
        <v>9</v>
      </c>
      <c r="L121" s="21">
        <f t="shared" si="2"/>
        <v>120</v>
      </c>
    </row>
    <row r="122">
      <c r="A122" s="14">
        <v>121.0</v>
      </c>
      <c r="B122" s="58" t="s">
        <v>621</v>
      </c>
      <c r="C122" s="16" t="s">
        <v>622</v>
      </c>
      <c r="D122" s="5" t="str">
        <f t="shared" si="1"/>
        <v>cust_i20</v>
      </c>
      <c r="E122" s="33" t="b">
        <v>0</v>
      </c>
      <c r="F122" s="16" t="s">
        <v>623</v>
      </c>
      <c r="G122" s="16" t="s">
        <v>198</v>
      </c>
      <c r="H122" s="34" t="s">
        <v>84</v>
      </c>
      <c r="I122" s="19">
        <v>0.0</v>
      </c>
      <c r="J122" s="19">
        <v>1.0</v>
      </c>
      <c r="K122" s="35" t="s">
        <v>9</v>
      </c>
      <c r="L122" s="21">
        <f t="shared" si="2"/>
        <v>121</v>
      </c>
    </row>
    <row r="123">
      <c r="A123" s="30">
        <v>122.0</v>
      </c>
      <c r="B123" s="52" t="s">
        <v>624</v>
      </c>
      <c r="C123" s="23" t="s">
        <v>625</v>
      </c>
      <c r="D123" s="5" t="str">
        <f t="shared" si="1"/>
        <v>cust_i21</v>
      </c>
      <c r="E123" s="36" t="b">
        <v>0</v>
      </c>
      <c r="F123" s="23" t="s">
        <v>626</v>
      </c>
      <c r="G123" s="23" t="s">
        <v>83</v>
      </c>
      <c r="H123" s="37" t="s">
        <v>84</v>
      </c>
      <c r="I123" s="26">
        <v>0.0</v>
      </c>
      <c r="J123" s="26">
        <v>1.0</v>
      </c>
      <c r="K123" s="38" t="s">
        <v>9</v>
      </c>
      <c r="L123" s="21">
        <f t="shared" si="2"/>
        <v>122</v>
      </c>
    </row>
    <row r="124">
      <c r="A124" s="14">
        <v>123.0</v>
      </c>
      <c r="B124" s="58" t="s">
        <v>627</v>
      </c>
      <c r="C124" s="16" t="s">
        <v>628</v>
      </c>
      <c r="D124" s="5" t="str">
        <f t="shared" si="1"/>
        <v>cust_i22</v>
      </c>
      <c r="E124" s="33" t="b">
        <v>0</v>
      </c>
      <c r="F124" s="16" t="s">
        <v>629</v>
      </c>
      <c r="G124" s="16" t="s">
        <v>83</v>
      </c>
      <c r="H124" s="34" t="s">
        <v>84</v>
      </c>
      <c r="I124" s="19">
        <v>0.0</v>
      </c>
      <c r="J124" s="19">
        <v>1.0</v>
      </c>
      <c r="K124" s="35" t="s">
        <v>9</v>
      </c>
      <c r="L124" s="21">
        <f t="shared" si="2"/>
        <v>123</v>
      </c>
    </row>
    <row r="125">
      <c r="A125" s="30">
        <v>124.0</v>
      </c>
      <c r="B125" s="52" t="s">
        <v>630</v>
      </c>
      <c r="C125" s="23" t="s">
        <v>631</v>
      </c>
      <c r="D125" s="5" t="str">
        <f t="shared" si="1"/>
        <v>cust_i23</v>
      </c>
      <c r="E125" s="36" t="b">
        <v>0</v>
      </c>
      <c r="F125" s="23" t="s">
        <v>632</v>
      </c>
      <c r="G125" s="23" t="s">
        <v>633</v>
      </c>
      <c r="H125" s="37" t="s">
        <v>634</v>
      </c>
      <c r="I125" s="26">
        <v>0.0</v>
      </c>
      <c r="J125" s="26">
        <v>1.0</v>
      </c>
      <c r="K125" s="38" t="s">
        <v>9</v>
      </c>
      <c r="L125" s="21">
        <f t="shared" si="2"/>
        <v>124</v>
      </c>
    </row>
    <row r="126">
      <c r="A126" s="14">
        <v>125.0</v>
      </c>
      <c r="B126" s="58" t="s">
        <v>635</v>
      </c>
      <c r="C126" s="16" t="s">
        <v>636</v>
      </c>
      <c r="D126" s="5" t="str">
        <f t="shared" si="1"/>
        <v>cust_i24</v>
      </c>
      <c r="E126" s="33" t="b">
        <v>0</v>
      </c>
      <c r="F126" s="16" t="s">
        <v>637</v>
      </c>
      <c r="G126" s="16" t="s">
        <v>638</v>
      </c>
      <c r="H126" s="34" t="s">
        <v>639</v>
      </c>
      <c r="I126" s="19">
        <v>0.0</v>
      </c>
      <c r="J126" s="19">
        <v>1.0</v>
      </c>
      <c r="K126" s="35" t="s">
        <v>9</v>
      </c>
      <c r="L126" s="21">
        <f t="shared" si="2"/>
        <v>125</v>
      </c>
    </row>
    <row r="127">
      <c r="A127" s="30">
        <v>126.0</v>
      </c>
      <c r="B127" s="52" t="s">
        <v>640</v>
      </c>
      <c r="C127" s="23" t="s">
        <v>641</v>
      </c>
      <c r="D127" s="5" t="str">
        <f t="shared" si="1"/>
        <v>cust_i25</v>
      </c>
      <c r="E127" s="36" t="b">
        <v>0</v>
      </c>
      <c r="F127" s="23" t="s">
        <v>583</v>
      </c>
      <c r="G127" s="23" t="s">
        <v>83</v>
      </c>
      <c r="H127" s="37" t="s">
        <v>84</v>
      </c>
      <c r="I127" s="26">
        <v>0.0</v>
      </c>
      <c r="J127" s="26">
        <v>1.0</v>
      </c>
      <c r="K127" s="38" t="s">
        <v>9</v>
      </c>
      <c r="L127" s="21">
        <f t="shared" si="2"/>
        <v>126</v>
      </c>
    </row>
    <row r="128">
      <c r="A128" s="14">
        <v>127.0</v>
      </c>
      <c r="B128" s="58" t="s">
        <v>642</v>
      </c>
      <c r="C128" s="16" t="s">
        <v>643</v>
      </c>
      <c r="D128" s="5" t="str">
        <f t="shared" si="1"/>
        <v>cust_i26</v>
      </c>
      <c r="E128" s="33" t="b">
        <v>0</v>
      </c>
      <c r="F128" s="16" t="s">
        <v>644</v>
      </c>
      <c r="G128" s="16" t="s">
        <v>83</v>
      </c>
      <c r="H128" s="34" t="s">
        <v>84</v>
      </c>
      <c r="I128" s="19">
        <v>0.0</v>
      </c>
      <c r="J128" s="19">
        <v>1.0</v>
      </c>
      <c r="K128" s="35" t="s">
        <v>9</v>
      </c>
      <c r="L128" s="21">
        <f t="shared" si="2"/>
        <v>127</v>
      </c>
    </row>
    <row r="129">
      <c r="A129" s="30">
        <v>128.0</v>
      </c>
      <c r="B129" s="52" t="s">
        <v>645</v>
      </c>
      <c r="C129" s="23" t="s">
        <v>646</v>
      </c>
      <c r="D129" s="5" t="str">
        <f t="shared" si="1"/>
        <v>cust_i27</v>
      </c>
      <c r="E129" s="36" t="b">
        <v>0</v>
      </c>
      <c r="F129" s="23" t="s">
        <v>647</v>
      </c>
      <c r="G129" s="23" t="s">
        <v>132</v>
      </c>
      <c r="H129" s="37" t="s">
        <v>133</v>
      </c>
      <c r="I129" s="26">
        <v>0.0</v>
      </c>
      <c r="J129" s="26">
        <v>1.0</v>
      </c>
      <c r="K129" s="38" t="s">
        <v>9</v>
      </c>
      <c r="L129" s="21">
        <f t="shared" si="2"/>
        <v>128</v>
      </c>
    </row>
    <row r="130">
      <c r="A130" s="14">
        <v>129.0</v>
      </c>
      <c r="B130" s="58" t="s">
        <v>648</v>
      </c>
      <c r="C130" s="16" t="s">
        <v>649</v>
      </c>
      <c r="D130" s="5" t="str">
        <f t="shared" si="1"/>
        <v>cust_i28</v>
      </c>
      <c r="E130" s="33" t="b">
        <v>0</v>
      </c>
      <c r="F130" s="16" t="s">
        <v>647</v>
      </c>
      <c r="G130" s="16" t="s">
        <v>132</v>
      </c>
      <c r="H130" s="34" t="s">
        <v>133</v>
      </c>
      <c r="I130" s="19">
        <v>0.0</v>
      </c>
      <c r="J130" s="19">
        <v>1.0</v>
      </c>
      <c r="K130" s="35" t="s">
        <v>9</v>
      </c>
      <c r="L130" s="21">
        <f t="shared" si="2"/>
        <v>129</v>
      </c>
    </row>
    <row r="131">
      <c r="A131" s="30">
        <v>130.0</v>
      </c>
      <c r="B131" s="52" t="s">
        <v>650</v>
      </c>
      <c r="C131" s="23" t="s">
        <v>651</v>
      </c>
      <c r="D131" s="5" t="str">
        <f t="shared" si="1"/>
        <v>cust_i29</v>
      </c>
      <c r="E131" s="36" t="b">
        <v>0</v>
      </c>
      <c r="F131" s="23" t="s">
        <v>652</v>
      </c>
      <c r="G131" s="23" t="s">
        <v>132</v>
      </c>
      <c r="H131" s="37" t="s">
        <v>133</v>
      </c>
      <c r="I131" s="26">
        <v>0.0</v>
      </c>
      <c r="J131" s="26">
        <v>1.0</v>
      </c>
      <c r="K131" s="38" t="s">
        <v>9</v>
      </c>
      <c r="L131" s="21">
        <f t="shared" si="2"/>
        <v>130</v>
      </c>
    </row>
    <row r="132">
      <c r="A132" s="14">
        <v>131.0</v>
      </c>
      <c r="B132" s="58" t="s">
        <v>653</v>
      </c>
      <c r="C132" s="16" t="s">
        <v>654</v>
      </c>
      <c r="D132" s="5" t="str">
        <f t="shared" si="1"/>
        <v>cust_i30</v>
      </c>
      <c r="E132" s="33" t="b">
        <v>0</v>
      </c>
      <c r="F132" s="16" t="s">
        <v>655</v>
      </c>
      <c r="G132" s="16" t="s">
        <v>132</v>
      </c>
      <c r="H132" s="34" t="s">
        <v>133</v>
      </c>
      <c r="I132" s="19">
        <v>0.0</v>
      </c>
      <c r="J132" s="19">
        <v>1.0</v>
      </c>
      <c r="K132" s="35" t="s">
        <v>9</v>
      </c>
      <c r="L132" s="21">
        <f t="shared" si="2"/>
        <v>131</v>
      </c>
    </row>
    <row r="133">
      <c r="A133" s="30">
        <v>132.0</v>
      </c>
      <c r="B133" s="52" t="s">
        <v>656</v>
      </c>
      <c r="C133" s="23" t="s">
        <v>657</v>
      </c>
      <c r="D133" s="5" t="str">
        <f t="shared" si="1"/>
        <v>cust_i31</v>
      </c>
      <c r="E133" s="36" t="b">
        <v>0</v>
      </c>
      <c r="F133" s="23" t="s">
        <v>658</v>
      </c>
      <c r="G133" s="23" t="s">
        <v>132</v>
      </c>
      <c r="H133" s="37" t="s">
        <v>133</v>
      </c>
      <c r="I133" s="26">
        <v>0.0</v>
      </c>
      <c r="J133" s="26">
        <v>1.0</v>
      </c>
      <c r="K133" s="38" t="s">
        <v>9</v>
      </c>
      <c r="L133" s="21">
        <f t="shared" si="2"/>
        <v>132</v>
      </c>
    </row>
    <row r="134">
      <c r="A134" s="14">
        <v>133.0</v>
      </c>
      <c r="B134" s="58" t="s">
        <v>659</v>
      </c>
      <c r="C134" s="16" t="s">
        <v>660</v>
      </c>
      <c r="D134" s="5" t="str">
        <f t="shared" si="1"/>
        <v>cust_i32</v>
      </c>
      <c r="E134" s="33" t="b">
        <v>0</v>
      </c>
      <c r="F134" s="16" t="s">
        <v>658</v>
      </c>
      <c r="G134" s="16" t="s">
        <v>132</v>
      </c>
      <c r="H134" s="34" t="s">
        <v>133</v>
      </c>
      <c r="I134" s="19">
        <v>0.0</v>
      </c>
      <c r="J134" s="19">
        <v>1.0</v>
      </c>
      <c r="K134" s="35" t="s">
        <v>9</v>
      </c>
      <c r="L134" s="21">
        <f t="shared" si="2"/>
        <v>133</v>
      </c>
    </row>
    <row r="135">
      <c r="A135" s="30">
        <v>134.0</v>
      </c>
      <c r="B135" s="52" t="s">
        <v>661</v>
      </c>
      <c r="C135" s="23" t="s">
        <v>662</v>
      </c>
      <c r="D135" s="5" t="str">
        <f t="shared" si="1"/>
        <v>cust_i33</v>
      </c>
      <c r="E135" s="36" t="b">
        <v>0</v>
      </c>
      <c r="F135" s="23" t="s">
        <v>663</v>
      </c>
      <c r="G135" s="23" t="s">
        <v>247</v>
      </c>
      <c r="H135" s="37" t="s">
        <v>145</v>
      </c>
      <c r="I135" s="26">
        <v>0.0</v>
      </c>
      <c r="J135" s="26">
        <v>1.0</v>
      </c>
      <c r="K135" s="38" t="s">
        <v>9</v>
      </c>
      <c r="L135" s="21">
        <f t="shared" si="2"/>
        <v>134</v>
      </c>
    </row>
    <row r="136">
      <c r="A136" s="14">
        <v>135.0</v>
      </c>
      <c r="B136" s="58" t="s">
        <v>664</v>
      </c>
      <c r="C136" s="16" t="s">
        <v>665</v>
      </c>
      <c r="D136" s="5" t="str">
        <f t="shared" si="1"/>
        <v>cust_i34</v>
      </c>
      <c r="E136" s="33" t="b">
        <v>0</v>
      </c>
      <c r="F136" s="16" t="s">
        <v>666</v>
      </c>
      <c r="G136" s="16" t="s">
        <v>247</v>
      </c>
      <c r="H136" s="34" t="s">
        <v>145</v>
      </c>
      <c r="I136" s="19">
        <v>0.0</v>
      </c>
      <c r="J136" s="19">
        <v>1.0</v>
      </c>
      <c r="K136" s="35" t="s">
        <v>9</v>
      </c>
      <c r="L136" s="21">
        <f t="shared" si="2"/>
        <v>135</v>
      </c>
    </row>
    <row r="137">
      <c r="A137" s="30">
        <v>136.0</v>
      </c>
      <c r="B137" s="52" t="s">
        <v>667</v>
      </c>
      <c r="C137" s="23" t="s">
        <v>668</v>
      </c>
      <c r="D137" s="5" t="str">
        <f t="shared" si="1"/>
        <v>cust_i35</v>
      </c>
      <c r="E137" s="36" t="b">
        <v>0</v>
      </c>
      <c r="F137" s="23" t="s">
        <v>669</v>
      </c>
      <c r="G137" s="23" t="s">
        <v>247</v>
      </c>
      <c r="H137" s="37" t="s">
        <v>145</v>
      </c>
      <c r="I137" s="26">
        <v>0.0</v>
      </c>
      <c r="J137" s="26">
        <v>1.0</v>
      </c>
      <c r="K137" s="38" t="s">
        <v>9</v>
      </c>
      <c r="L137" s="21">
        <f t="shared" si="2"/>
        <v>136</v>
      </c>
    </row>
    <row r="138">
      <c r="A138" s="14">
        <v>137.0</v>
      </c>
      <c r="B138" s="58" t="s">
        <v>670</v>
      </c>
      <c r="C138" s="16" t="s">
        <v>671</v>
      </c>
      <c r="D138" s="5" t="str">
        <f t="shared" si="1"/>
        <v>cust_i36</v>
      </c>
      <c r="E138" s="33" t="b">
        <v>0</v>
      </c>
      <c r="F138" s="16" t="s">
        <v>669</v>
      </c>
      <c r="G138" s="16" t="s">
        <v>247</v>
      </c>
      <c r="H138" s="34" t="s">
        <v>145</v>
      </c>
      <c r="I138" s="19">
        <v>0.0</v>
      </c>
      <c r="J138" s="19">
        <v>1.0</v>
      </c>
      <c r="K138" s="35" t="s">
        <v>9</v>
      </c>
      <c r="L138" s="21">
        <f t="shared" si="2"/>
        <v>137</v>
      </c>
    </row>
    <row r="139">
      <c r="A139" s="30">
        <v>138.0</v>
      </c>
      <c r="B139" s="52" t="s">
        <v>672</v>
      </c>
      <c r="C139" s="23" t="s">
        <v>673</v>
      </c>
      <c r="D139" s="5" t="str">
        <f t="shared" si="1"/>
        <v>cust_i37</v>
      </c>
      <c r="E139" s="36" t="b">
        <v>0</v>
      </c>
      <c r="F139" s="23" t="s">
        <v>82</v>
      </c>
      <c r="G139" s="23" t="s">
        <v>83</v>
      </c>
      <c r="H139" s="37" t="s">
        <v>84</v>
      </c>
      <c r="I139" s="26">
        <v>0.0</v>
      </c>
      <c r="J139" s="26">
        <v>1.0</v>
      </c>
      <c r="K139" s="38" t="s">
        <v>9</v>
      </c>
      <c r="L139" s="21">
        <f t="shared" si="2"/>
        <v>138</v>
      </c>
    </row>
    <row r="140">
      <c r="A140" s="14">
        <v>139.0</v>
      </c>
      <c r="B140" s="58" t="s">
        <v>674</v>
      </c>
      <c r="C140" s="16" t="s">
        <v>675</v>
      </c>
      <c r="D140" s="5" t="str">
        <f t="shared" si="1"/>
        <v>cust_i38</v>
      </c>
      <c r="E140" s="33" t="b">
        <v>0</v>
      </c>
      <c r="F140" s="16" t="s">
        <v>676</v>
      </c>
      <c r="G140" s="16" t="s">
        <v>123</v>
      </c>
      <c r="H140" s="34" t="s">
        <v>124</v>
      </c>
      <c r="I140" s="19">
        <v>0.0</v>
      </c>
      <c r="J140" s="19">
        <v>1.0</v>
      </c>
      <c r="K140" s="35" t="s">
        <v>9</v>
      </c>
      <c r="L140" s="21">
        <f t="shared" si="2"/>
        <v>139</v>
      </c>
    </row>
    <row r="141">
      <c r="A141" s="30">
        <v>140.0</v>
      </c>
      <c r="B141" s="52" t="s">
        <v>677</v>
      </c>
      <c r="C141" s="23" t="s">
        <v>678</v>
      </c>
      <c r="D141" s="5" t="str">
        <f t="shared" si="1"/>
        <v>cust_i39</v>
      </c>
      <c r="E141" s="36" t="b">
        <v>0</v>
      </c>
      <c r="F141" s="23" t="s">
        <v>679</v>
      </c>
      <c r="G141" s="23" t="s">
        <v>143</v>
      </c>
      <c r="H141" s="37" t="s">
        <v>145</v>
      </c>
      <c r="I141" s="26">
        <v>0.0</v>
      </c>
      <c r="J141" s="26">
        <v>1.0</v>
      </c>
      <c r="K141" s="38" t="s">
        <v>9</v>
      </c>
      <c r="L141" s="21">
        <f t="shared" si="2"/>
        <v>140</v>
      </c>
    </row>
    <row r="142">
      <c r="A142" s="14">
        <v>141.0</v>
      </c>
      <c r="B142" s="58" t="s">
        <v>680</v>
      </c>
      <c r="C142" s="16" t="s">
        <v>681</v>
      </c>
      <c r="D142" s="5" t="str">
        <f t="shared" si="1"/>
        <v>cust_i40</v>
      </c>
      <c r="E142" s="33" t="b">
        <v>0</v>
      </c>
      <c r="F142" s="16" t="s">
        <v>682</v>
      </c>
      <c r="G142" s="16" t="s">
        <v>123</v>
      </c>
      <c r="H142" s="34" t="s">
        <v>124</v>
      </c>
      <c r="I142" s="19">
        <v>0.0</v>
      </c>
      <c r="J142" s="19">
        <v>1.0</v>
      </c>
      <c r="K142" s="35" t="s">
        <v>9</v>
      </c>
      <c r="L142" s="21">
        <f t="shared" si="2"/>
        <v>141</v>
      </c>
    </row>
    <row r="143">
      <c r="A143" s="30">
        <v>142.0</v>
      </c>
      <c r="B143" s="52" t="s">
        <v>683</v>
      </c>
      <c r="C143" s="23" t="s">
        <v>684</v>
      </c>
      <c r="D143" s="5" t="str">
        <f t="shared" si="1"/>
        <v>cust_i41</v>
      </c>
      <c r="E143" s="36" t="b">
        <v>0</v>
      </c>
      <c r="F143" s="23" t="s">
        <v>685</v>
      </c>
      <c r="G143" s="23" t="s">
        <v>123</v>
      </c>
      <c r="H143" s="37" t="s">
        <v>124</v>
      </c>
      <c r="I143" s="26">
        <v>0.0</v>
      </c>
      <c r="J143" s="26">
        <v>1.0</v>
      </c>
      <c r="K143" s="38" t="s">
        <v>9</v>
      </c>
      <c r="L143" s="21">
        <f t="shared" si="2"/>
        <v>142</v>
      </c>
    </row>
    <row r="144">
      <c r="A144" s="14">
        <v>143.0</v>
      </c>
      <c r="B144" s="58" t="s">
        <v>686</v>
      </c>
      <c r="C144" s="16" t="s">
        <v>687</v>
      </c>
      <c r="D144" s="5" t="str">
        <f t="shared" si="1"/>
        <v>cust_i42</v>
      </c>
      <c r="E144" s="33" t="b">
        <v>0</v>
      </c>
      <c r="F144" s="16" t="s">
        <v>688</v>
      </c>
      <c r="G144" s="16" t="s">
        <v>689</v>
      </c>
      <c r="H144" s="34" t="s">
        <v>84</v>
      </c>
      <c r="I144" s="19">
        <v>0.0</v>
      </c>
      <c r="J144" s="19">
        <v>1.0</v>
      </c>
      <c r="K144" s="35" t="s">
        <v>9</v>
      </c>
      <c r="L144" s="21">
        <f t="shared" si="2"/>
        <v>143</v>
      </c>
    </row>
    <row r="145">
      <c r="A145" s="30">
        <v>144.0</v>
      </c>
      <c r="B145" s="52" t="s">
        <v>690</v>
      </c>
      <c r="C145" s="23" t="s">
        <v>691</v>
      </c>
      <c r="D145" s="5" t="str">
        <f t="shared" si="1"/>
        <v>cust_i43</v>
      </c>
      <c r="E145" s="36" t="b">
        <v>0</v>
      </c>
      <c r="F145" s="23" t="s">
        <v>692</v>
      </c>
      <c r="G145" s="23" t="s">
        <v>247</v>
      </c>
      <c r="H145" s="37" t="s">
        <v>145</v>
      </c>
      <c r="I145" s="26">
        <v>0.0</v>
      </c>
      <c r="J145" s="26">
        <v>1.0</v>
      </c>
      <c r="K145" s="38" t="s">
        <v>9</v>
      </c>
      <c r="L145" s="21">
        <f t="shared" si="2"/>
        <v>144</v>
      </c>
    </row>
    <row r="146">
      <c r="A146" s="14">
        <v>145.0</v>
      </c>
      <c r="B146" s="58" t="s">
        <v>695</v>
      </c>
      <c r="C146" s="16" t="s">
        <v>696</v>
      </c>
      <c r="D146" s="5" t="str">
        <f t="shared" si="1"/>
        <v>cust_i44</v>
      </c>
      <c r="E146" s="33" t="b">
        <v>0</v>
      </c>
      <c r="F146" s="16" t="s">
        <v>692</v>
      </c>
      <c r="G146" s="16" t="s">
        <v>247</v>
      </c>
      <c r="H146" s="34" t="s">
        <v>145</v>
      </c>
      <c r="I146" s="19">
        <v>0.0</v>
      </c>
      <c r="J146" s="19">
        <v>1.0</v>
      </c>
      <c r="K146" s="35" t="s">
        <v>9</v>
      </c>
      <c r="L146" s="21">
        <f t="shared" si="2"/>
        <v>145</v>
      </c>
    </row>
    <row r="147">
      <c r="A147" s="30">
        <v>146.0</v>
      </c>
      <c r="B147" s="52" t="s">
        <v>698</v>
      </c>
      <c r="C147" s="23" t="s">
        <v>699</v>
      </c>
      <c r="D147" s="5" t="str">
        <f t="shared" si="1"/>
        <v>cust_i45</v>
      </c>
      <c r="E147" s="36" t="b">
        <v>0</v>
      </c>
      <c r="F147" s="23" t="s">
        <v>692</v>
      </c>
      <c r="G147" s="23" t="s">
        <v>247</v>
      </c>
      <c r="H147" s="37" t="s">
        <v>145</v>
      </c>
      <c r="I147" s="26">
        <v>0.0</v>
      </c>
      <c r="J147" s="26">
        <v>1.0</v>
      </c>
      <c r="K147" s="38" t="s">
        <v>9</v>
      </c>
      <c r="L147" s="21">
        <f t="shared" si="2"/>
        <v>146</v>
      </c>
    </row>
    <row r="148">
      <c r="A148" s="14">
        <v>147.0</v>
      </c>
      <c r="B148" s="58" t="s">
        <v>702</v>
      </c>
      <c r="C148" s="16" t="s">
        <v>703</v>
      </c>
      <c r="D148" s="5" t="str">
        <f t="shared" si="1"/>
        <v>cust_i46</v>
      </c>
      <c r="E148" s="33" t="b">
        <v>0</v>
      </c>
      <c r="F148" s="16" t="s">
        <v>583</v>
      </c>
      <c r="G148" s="16" t="s">
        <v>83</v>
      </c>
      <c r="H148" s="34" t="s">
        <v>84</v>
      </c>
      <c r="I148" s="19">
        <v>0.0</v>
      </c>
      <c r="J148" s="19">
        <v>1.0</v>
      </c>
      <c r="K148" s="35" t="s">
        <v>9</v>
      </c>
      <c r="L148" s="21">
        <f t="shared" si="2"/>
        <v>147</v>
      </c>
    </row>
    <row r="149">
      <c r="A149" s="30">
        <v>148.0</v>
      </c>
      <c r="B149" s="52" t="s">
        <v>707</v>
      </c>
      <c r="C149" s="23" t="s">
        <v>708</v>
      </c>
      <c r="D149" s="5" t="str">
        <f t="shared" si="1"/>
        <v>cust_i47</v>
      </c>
      <c r="E149" s="36" t="b">
        <v>0</v>
      </c>
      <c r="F149" s="23" t="s">
        <v>583</v>
      </c>
      <c r="G149" s="23" t="s">
        <v>83</v>
      </c>
      <c r="H149" s="37" t="s">
        <v>84</v>
      </c>
      <c r="I149" s="26">
        <v>0.0</v>
      </c>
      <c r="J149" s="26">
        <v>1.0</v>
      </c>
      <c r="K149" s="38" t="s">
        <v>9</v>
      </c>
      <c r="L149" s="21">
        <f t="shared" si="2"/>
        <v>148</v>
      </c>
    </row>
    <row r="150">
      <c r="A150" s="14">
        <v>149.0</v>
      </c>
      <c r="B150" s="58" t="s">
        <v>712</v>
      </c>
      <c r="C150" s="16" t="s">
        <v>713</v>
      </c>
      <c r="D150" s="5" t="str">
        <f t="shared" si="1"/>
        <v>cust_i48</v>
      </c>
      <c r="E150" s="33" t="b">
        <v>0</v>
      </c>
      <c r="F150" s="16" t="s">
        <v>716</v>
      </c>
      <c r="G150" s="16" t="s">
        <v>719</v>
      </c>
      <c r="H150" s="34" t="s">
        <v>84</v>
      </c>
      <c r="I150" s="19">
        <v>0.0</v>
      </c>
      <c r="J150" s="19">
        <v>1.0</v>
      </c>
      <c r="K150" s="35" t="s">
        <v>9</v>
      </c>
      <c r="L150" s="21">
        <f t="shared" si="2"/>
        <v>149</v>
      </c>
    </row>
    <row r="151">
      <c r="A151" s="30">
        <v>150.0</v>
      </c>
      <c r="B151" s="52" t="s">
        <v>727</v>
      </c>
      <c r="C151" s="23" t="s">
        <v>728</v>
      </c>
      <c r="D151" s="5" t="str">
        <f t="shared" si="1"/>
        <v>cust_i49</v>
      </c>
      <c r="E151" s="36" t="b">
        <v>0</v>
      </c>
      <c r="F151" s="23" t="s">
        <v>583</v>
      </c>
      <c r="G151" s="23" t="s">
        <v>83</v>
      </c>
      <c r="H151" s="37" t="s">
        <v>84</v>
      </c>
      <c r="I151" s="26">
        <v>0.0</v>
      </c>
      <c r="J151" s="26">
        <v>1.0</v>
      </c>
      <c r="K151" s="38" t="s">
        <v>9</v>
      </c>
      <c r="L151" s="21">
        <f t="shared" si="2"/>
        <v>150</v>
      </c>
    </row>
    <row r="152">
      <c r="A152" s="14">
        <v>151.0</v>
      </c>
      <c r="B152" s="58" t="s">
        <v>735</v>
      </c>
      <c r="C152" s="16" t="s">
        <v>736</v>
      </c>
      <c r="D152" s="5" t="str">
        <f t="shared" si="1"/>
        <v>cust_i50</v>
      </c>
      <c r="E152" s="33" t="b">
        <v>0</v>
      </c>
      <c r="F152" s="16" t="s">
        <v>583</v>
      </c>
      <c r="G152" s="16" t="s">
        <v>83</v>
      </c>
      <c r="H152" s="34" t="s">
        <v>84</v>
      </c>
      <c r="I152" s="19">
        <v>0.0</v>
      </c>
      <c r="J152" s="19">
        <v>1.0</v>
      </c>
      <c r="K152" s="35" t="s">
        <v>9</v>
      </c>
      <c r="L152" s="21">
        <f t="shared" si="2"/>
        <v>151</v>
      </c>
    </row>
    <row r="153">
      <c r="A153" s="30">
        <v>152.0</v>
      </c>
      <c r="B153" s="52" t="s">
        <v>738</v>
      </c>
      <c r="C153" s="23" t="s">
        <v>739</v>
      </c>
      <c r="D153" s="5" t="str">
        <f t="shared" si="1"/>
        <v>cust_i51</v>
      </c>
      <c r="E153" s="36" t="b">
        <v>0</v>
      </c>
      <c r="F153" s="23" t="s">
        <v>583</v>
      </c>
      <c r="G153" s="23" t="s">
        <v>83</v>
      </c>
      <c r="H153" s="37" t="s">
        <v>84</v>
      </c>
      <c r="I153" s="26">
        <v>0.0</v>
      </c>
      <c r="J153" s="26">
        <v>1.0</v>
      </c>
      <c r="K153" s="38" t="s">
        <v>9</v>
      </c>
      <c r="L153" s="21">
        <f t="shared" si="2"/>
        <v>152</v>
      </c>
    </row>
    <row r="154">
      <c r="A154" s="14">
        <v>153.0</v>
      </c>
      <c r="B154" s="58" t="s">
        <v>740</v>
      </c>
      <c r="C154" s="16" t="s">
        <v>741</v>
      </c>
      <c r="D154" s="5" t="str">
        <f t="shared" si="1"/>
        <v>cust_i52</v>
      </c>
      <c r="E154" s="33" t="b">
        <v>0</v>
      </c>
      <c r="F154" s="16" t="s">
        <v>583</v>
      </c>
      <c r="G154" s="16" t="s">
        <v>83</v>
      </c>
      <c r="H154" s="34" t="s">
        <v>84</v>
      </c>
      <c r="I154" s="19">
        <v>0.0</v>
      </c>
      <c r="J154" s="19">
        <v>1.0</v>
      </c>
      <c r="K154" s="35" t="s">
        <v>9</v>
      </c>
      <c r="L154" s="21">
        <f t="shared" si="2"/>
        <v>153</v>
      </c>
    </row>
    <row r="155">
      <c r="A155" s="30">
        <v>154.0</v>
      </c>
      <c r="B155" s="52" t="s">
        <v>744</v>
      </c>
      <c r="C155" s="23" t="s">
        <v>745</v>
      </c>
      <c r="D155" s="5" t="str">
        <f t="shared" si="1"/>
        <v>cust_i53</v>
      </c>
      <c r="E155" s="36" t="b">
        <v>0</v>
      </c>
      <c r="F155" s="23" t="s">
        <v>583</v>
      </c>
      <c r="G155" s="23" t="s">
        <v>83</v>
      </c>
      <c r="H155" s="37" t="s">
        <v>84</v>
      </c>
      <c r="I155" s="26">
        <v>0.0</v>
      </c>
      <c r="J155" s="26">
        <v>1.0</v>
      </c>
      <c r="K155" s="38" t="s">
        <v>9</v>
      </c>
      <c r="L155" s="21">
        <f t="shared" si="2"/>
        <v>154</v>
      </c>
    </row>
    <row r="156">
      <c r="A156" s="14">
        <v>155.0</v>
      </c>
      <c r="B156" s="58" t="s">
        <v>746</v>
      </c>
      <c r="C156" s="16" t="s">
        <v>747</v>
      </c>
      <c r="D156" s="5" t="str">
        <f t="shared" si="1"/>
        <v>cust_i54</v>
      </c>
      <c r="E156" s="33" t="b">
        <v>0</v>
      </c>
      <c r="F156" s="16" t="s">
        <v>748</v>
      </c>
      <c r="G156" s="16" t="s">
        <v>217</v>
      </c>
      <c r="H156" s="34" t="s">
        <v>84</v>
      </c>
      <c r="I156" s="19">
        <v>0.0</v>
      </c>
      <c r="J156" s="19">
        <v>1.0</v>
      </c>
      <c r="K156" s="35" t="s">
        <v>9</v>
      </c>
      <c r="L156" s="21">
        <f t="shared" si="2"/>
        <v>155</v>
      </c>
    </row>
    <row r="157">
      <c r="A157" s="30">
        <v>156.0</v>
      </c>
      <c r="B157" s="52" t="s">
        <v>749</v>
      </c>
      <c r="C157" s="23" t="s">
        <v>750</v>
      </c>
      <c r="D157" s="5" t="str">
        <f t="shared" si="1"/>
        <v>cust_i55</v>
      </c>
      <c r="E157" s="36" t="b">
        <v>0</v>
      </c>
      <c r="F157" s="23" t="s">
        <v>751</v>
      </c>
      <c r="G157" s="23" t="s">
        <v>83</v>
      </c>
      <c r="H157" s="37" t="s">
        <v>84</v>
      </c>
      <c r="I157" s="26">
        <v>0.0</v>
      </c>
      <c r="J157" s="26">
        <v>1.0</v>
      </c>
      <c r="K157" s="38" t="s">
        <v>9</v>
      </c>
      <c r="L157" s="21">
        <f t="shared" si="2"/>
        <v>156</v>
      </c>
    </row>
    <row r="158">
      <c r="A158" s="14">
        <v>157.0</v>
      </c>
      <c r="B158" s="58" t="s">
        <v>752</v>
      </c>
      <c r="C158" s="16" t="s">
        <v>753</v>
      </c>
      <c r="D158" s="5" t="str">
        <f t="shared" si="1"/>
        <v>cust_i56</v>
      </c>
      <c r="E158" s="33" t="b">
        <v>0</v>
      </c>
      <c r="F158" s="16" t="s">
        <v>751</v>
      </c>
      <c r="G158" s="16" t="s">
        <v>83</v>
      </c>
      <c r="H158" s="34" t="s">
        <v>84</v>
      </c>
      <c r="I158" s="19">
        <v>0.0</v>
      </c>
      <c r="J158" s="19">
        <v>1.0</v>
      </c>
      <c r="K158" s="35" t="s">
        <v>9</v>
      </c>
      <c r="L158" s="21">
        <f t="shared" si="2"/>
        <v>157</v>
      </c>
    </row>
    <row r="159">
      <c r="A159" s="30">
        <v>158.0</v>
      </c>
      <c r="B159" s="52" t="s">
        <v>754</v>
      </c>
      <c r="C159" s="23" t="s">
        <v>755</v>
      </c>
      <c r="D159" s="5" t="str">
        <f t="shared" si="1"/>
        <v>cust_i57</v>
      </c>
      <c r="E159" s="36" t="b">
        <v>0</v>
      </c>
      <c r="F159" s="23" t="s">
        <v>756</v>
      </c>
      <c r="G159" s="23" t="s">
        <v>217</v>
      </c>
      <c r="H159" s="37" t="s">
        <v>84</v>
      </c>
      <c r="I159" s="26">
        <v>0.0</v>
      </c>
      <c r="J159" s="26">
        <v>1.0</v>
      </c>
      <c r="K159" s="38" t="s">
        <v>9</v>
      </c>
      <c r="L159" s="21">
        <f t="shared" si="2"/>
        <v>158</v>
      </c>
    </row>
    <row r="160">
      <c r="A160" s="14">
        <v>159.0</v>
      </c>
      <c r="B160" s="58" t="s">
        <v>758</v>
      </c>
      <c r="C160" s="16" t="s">
        <v>759</v>
      </c>
      <c r="D160" s="5" t="str">
        <f t="shared" si="1"/>
        <v>cust_i58</v>
      </c>
      <c r="E160" s="33" t="b">
        <v>0</v>
      </c>
      <c r="F160" s="16" t="s">
        <v>756</v>
      </c>
      <c r="G160" s="16" t="s">
        <v>217</v>
      </c>
      <c r="H160" s="34" t="s">
        <v>84</v>
      </c>
      <c r="I160" s="19">
        <v>0.0</v>
      </c>
      <c r="J160" s="19">
        <v>1.0</v>
      </c>
      <c r="K160" s="35" t="s">
        <v>9</v>
      </c>
      <c r="L160" s="21">
        <f t="shared" si="2"/>
        <v>159</v>
      </c>
    </row>
    <row r="161">
      <c r="A161" s="30">
        <v>160.0</v>
      </c>
      <c r="B161" s="52" t="s">
        <v>760</v>
      </c>
      <c r="C161" s="23" t="s">
        <v>761</v>
      </c>
      <c r="D161" s="5" t="str">
        <f t="shared" si="1"/>
        <v>cust_i59</v>
      </c>
      <c r="E161" s="36" t="b">
        <v>0</v>
      </c>
      <c r="F161" s="23" t="s">
        <v>190</v>
      </c>
      <c r="G161" s="23" t="s">
        <v>83</v>
      </c>
      <c r="H161" s="37" t="s">
        <v>84</v>
      </c>
      <c r="I161" s="26">
        <v>0.0</v>
      </c>
      <c r="J161" s="26">
        <v>1.0</v>
      </c>
      <c r="K161" s="38" t="s">
        <v>9</v>
      </c>
      <c r="L161" s="21">
        <f t="shared" si="2"/>
        <v>160</v>
      </c>
    </row>
    <row r="162">
      <c r="A162" s="14">
        <v>161.0</v>
      </c>
      <c r="B162" s="58" t="s">
        <v>762</v>
      </c>
      <c r="C162" s="16" t="s">
        <v>763</v>
      </c>
      <c r="D162" s="5" t="str">
        <f t="shared" si="1"/>
        <v>cust_i60</v>
      </c>
      <c r="E162" s="33" t="b">
        <v>0</v>
      </c>
      <c r="F162" s="16" t="s">
        <v>748</v>
      </c>
      <c r="G162" s="16" t="s">
        <v>217</v>
      </c>
      <c r="H162" s="34" t="s">
        <v>84</v>
      </c>
      <c r="I162" s="19">
        <v>0.0</v>
      </c>
      <c r="J162" s="19">
        <v>1.0</v>
      </c>
      <c r="K162" s="35" t="s">
        <v>9</v>
      </c>
      <c r="L162" s="21">
        <f t="shared" si="2"/>
        <v>161</v>
      </c>
    </row>
    <row r="163">
      <c r="A163" s="30">
        <v>162.0</v>
      </c>
      <c r="B163" s="52" t="s">
        <v>764</v>
      </c>
      <c r="C163" s="23" t="s">
        <v>765</v>
      </c>
      <c r="D163" s="5" t="str">
        <f t="shared" si="1"/>
        <v>cust_i61</v>
      </c>
      <c r="E163" s="36" t="b">
        <v>0</v>
      </c>
      <c r="F163" s="23" t="s">
        <v>766</v>
      </c>
      <c r="G163" s="23" t="s">
        <v>767</v>
      </c>
      <c r="H163" s="37" t="s">
        <v>84</v>
      </c>
      <c r="I163" s="26">
        <v>0.0</v>
      </c>
      <c r="J163" s="26">
        <v>1.0</v>
      </c>
      <c r="K163" s="38" t="s">
        <v>9</v>
      </c>
      <c r="L163" s="21">
        <f t="shared" si="2"/>
        <v>162</v>
      </c>
    </row>
    <row r="164">
      <c r="A164" s="14">
        <v>163.0</v>
      </c>
      <c r="B164" s="58" t="s">
        <v>774</v>
      </c>
      <c r="C164" s="16" t="s">
        <v>775</v>
      </c>
      <c r="D164" s="5" t="str">
        <f t="shared" si="1"/>
        <v>cust_i62</v>
      </c>
      <c r="E164" s="33" t="b">
        <v>0</v>
      </c>
      <c r="F164" s="16" t="s">
        <v>777</v>
      </c>
      <c r="G164" s="16" t="s">
        <v>778</v>
      </c>
      <c r="H164" s="34" t="s">
        <v>84</v>
      </c>
      <c r="I164" s="19">
        <v>0.0</v>
      </c>
      <c r="J164" s="19">
        <v>1.0</v>
      </c>
      <c r="K164" s="35" t="s">
        <v>9</v>
      </c>
      <c r="L164" s="21">
        <f t="shared" si="2"/>
        <v>163</v>
      </c>
    </row>
    <row r="165">
      <c r="A165" s="30">
        <v>164.0</v>
      </c>
      <c r="B165" s="52" t="s">
        <v>782</v>
      </c>
      <c r="C165" s="23" t="s">
        <v>783</v>
      </c>
      <c r="D165" s="5" t="str">
        <f t="shared" si="1"/>
        <v>cust_i63</v>
      </c>
      <c r="E165" s="36" t="b">
        <v>0</v>
      </c>
      <c r="F165" s="23" t="s">
        <v>784</v>
      </c>
      <c r="G165" s="23" t="s">
        <v>83</v>
      </c>
      <c r="H165" s="37" t="s">
        <v>84</v>
      </c>
      <c r="I165" s="26">
        <v>0.0</v>
      </c>
      <c r="J165" s="26">
        <v>1.0</v>
      </c>
      <c r="K165" s="38" t="s">
        <v>9</v>
      </c>
      <c r="L165" s="21">
        <f t="shared" si="2"/>
        <v>164</v>
      </c>
    </row>
    <row r="166">
      <c r="A166" s="14">
        <v>165.0</v>
      </c>
      <c r="B166" s="58" t="s">
        <v>787</v>
      </c>
      <c r="C166" s="16" t="s">
        <v>788</v>
      </c>
      <c r="D166" s="5" t="str">
        <f t="shared" si="1"/>
        <v>cust_i64</v>
      </c>
      <c r="E166" s="33" t="b">
        <v>0</v>
      </c>
      <c r="F166" s="16" t="s">
        <v>790</v>
      </c>
      <c r="G166" s="16" t="s">
        <v>791</v>
      </c>
      <c r="H166" s="34" t="s">
        <v>84</v>
      </c>
      <c r="I166" s="19">
        <v>0.0</v>
      </c>
      <c r="J166" s="19">
        <v>1.0</v>
      </c>
      <c r="K166" s="35" t="s">
        <v>9</v>
      </c>
      <c r="L166" s="21">
        <f t="shared" si="2"/>
        <v>165</v>
      </c>
    </row>
    <row r="167">
      <c r="A167" s="30">
        <v>166.0</v>
      </c>
      <c r="B167" s="52" t="s">
        <v>793</v>
      </c>
      <c r="C167" s="23" t="s">
        <v>794</v>
      </c>
      <c r="D167" s="5" t="str">
        <f t="shared" si="1"/>
        <v>cust_i65</v>
      </c>
      <c r="E167" s="36" t="b">
        <v>0</v>
      </c>
      <c r="F167" s="23" t="s">
        <v>795</v>
      </c>
      <c r="G167" s="23" t="s">
        <v>83</v>
      </c>
      <c r="H167" s="37" t="s">
        <v>84</v>
      </c>
      <c r="I167" s="26">
        <v>0.0</v>
      </c>
      <c r="J167" s="26">
        <v>1.0</v>
      </c>
      <c r="K167" s="38" t="s">
        <v>9</v>
      </c>
      <c r="L167" s="21">
        <f t="shared" si="2"/>
        <v>166</v>
      </c>
    </row>
    <row r="168">
      <c r="A168" s="14">
        <v>167.0</v>
      </c>
      <c r="B168" s="58" t="s">
        <v>797</v>
      </c>
      <c r="C168" s="16" t="s">
        <v>798</v>
      </c>
      <c r="D168" s="5" t="str">
        <f t="shared" si="1"/>
        <v>cust_i66</v>
      </c>
      <c r="E168" s="33" t="b">
        <v>0</v>
      </c>
      <c r="F168" s="16" t="s">
        <v>799</v>
      </c>
      <c r="G168" s="16" t="s">
        <v>83</v>
      </c>
      <c r="H168" s="34" t="s">
        <v>84</v>
      </c>
      <c r="I168" s="19">
        <v>0.0</v>
      </c>
      <c r="J168" s="19">
        <v>1.0</v>
      </c>
      <c r="K168" s="35" t="s">
        <v>9</v>
      </c>
      <c r="L168" s="21">
        <f t="shared" si="2"/>
        <v>167</v>
      </c>
    </row>
    <row r="169">
      <c r="A169" s="30">
        <v>168.0</v>
      </c>
      <c r="B169" s="52" t="s">
        <v>802</v>
      </c>
      <c r="C169" s="23" t="s">
        <v>803</v>
      </c>
      <c r="D169" s="5" t="str">
        <f t="shared" si="1"/>
        <v>cust_i67</v>
      </c>
      <c r="E169" s="36" t="b">
        <v>0</v>
      </c>
      <c r="F169" s="23" t="s">
        <v>804</v>
      </c>
      <c r="G169" s="23" t="s">
        <v>805</v>
      </c>
      <c r="H169" s="37" t="s">
        <v>84</v>
      </c>
      <c r="I169" s="26">
        <v>0.0</v>
      </c>
      <c r="J169" s="26">
        <v>1.0</v>
      </c>
      <c r="K169" s="38" t="s">
        <v>9</v>
      </c>
      <c r="L169" s="21">
        <f t="shared" si="2"/>
        <v>168</v>
      </c>
    </row>
    <row r="170">
      <c r="A170" s="14">
        <v>169.0</v>
      </c>
      <c r="B170" s="58" t="s">
        <v>807</v>
      </c>
      <c r="C170" s="16" t="s">
        <v>808</v>
      </c>
      <c r="D170" s="5" t="str">
        <f t="shared" si="1"/>
        <v>cust_i68</v>
      </c>
      <c r="E170" s="33" t="b">
        <v>0</v>
      </c>
      <c r="F170" s="16" t="s">
        <v>810</v>
      </c>
      <c r="G170" s="16" t="s">
        <v>83</v>
      </c>
      <c r="H170" s="34" t="s">
        <v>84</v>
      </c>
      <c r="I170" s="19">
        <v>0.0</v>
      </c>
      <c r="J170" s="19">
        <v>1.0</v>
      </c>
      <c r="K170" s="35" t="s">
        <v>9</v>
      </c>
      <c r="L170" s="21">
        <f t="shared" si="2"/>
        <v>169</v>
      </c>
    </row>
    <row r="171">
      <c r="A171" s="30">
        <v>170.0</v>
      </c>
      <c r="B171" s="52" t="s">
        <v>811</v>
      </c>
      <c r="C171" s="23" t="s">
        <v>812</v>
      </c>
      <c r="D171" s="5" t="str">
        <f t="shared" si="1"/>
        <v>cust_i69</v>
      </c>
      <c r="E171" s="36" t="b">
        <v>0</v>
      </c>
      <c r="F171" s="23" t="s">
        <v>813</v>
      </c>
      <c r="G171" s="23" t="s">
        <v>83</v>
      </c>
      <c r="H171" s="37" t="s">
        <v>84</v>
      </c>
      <c r="I171" s="26">
        <v>0.0</v>
      </c>
      <c r="J171" s="26">
        <v>1.0</v>
      </c>
      <c r="K171" s="38" t="s">
        <v>9</v>
      </c>
      <c r="L171" s="21">
        <f t="shared" si="2"/>
        <v>170</v>
      </c>
    </row>
    <row r="172">
      <c r="A172" s="14">
        <v>171.0</v>
      </c>
      <c r="B172" s="58" t="s">
        <v>815</v>
      </c>
      <c r="C172" s="16" t="s">
        <v>816</v>
      </c>
      <c r="D172" s="5" t="str">
        <f t="shared" si="1"/>
        <v>cust_i70</v>
      </c>
      <c r="E172" s="33" t="b">
        <v>0</v>
      </c>
      <c r="F172" s="16" t="s">
        <v>817</v>
      </c>
      <c r="G172" s="16" t="s">
        <v>818</v>
      </c>
      <c r="H172" s="34" t="s">
        <v>819</v>
      </c>
      <c r="I172" s="19">
        <v>0.0</v>
      </c>
      <c r="J172" s="19">
        <v>1.0</v>
      </c>
      <c r="K172" s="35" t="s">
        <v>9</v>
      </c>
      <c r="L172" s="21">
        <f t="shared" si="2"/>
        <v>171</v>
      </c>
    </row>
    <row r="173">
      <c r="A173" s="30">
        <v>172.0</v>
      </c>
      <c r="B173" s="52" t="s">
        <v>828</v>
      </c>
      <c r="C173" s="23" t="s">
        <v>830</v>
      </c>
      <c r="D173" s="5" t="str">
        <f t="shared" si="1"/>
        <v>cust_i71</v>
      </c>
      <c r="E173" s="36" t="b">
        <v>0</v>
      </c>
      <c r="F173" s="23" t="s">
        <v>831</v>
      </c>
      <c r="G173" s="23" t="s">
        <v>83</v>
      </c>
      <c r="H173" s="37" t="s">
        <v>84</v>
      </c>
      <c r="I173" s="26">
        <v>0.0</v>
      </c>
      <c r="J173" s="26">
        <v>1.0</v>
      </c>
      <c r="K173" s="38" t="s">
        <v>9</v>
      </c>
      <c r="L173" s="21">
        <f t="shared" si="2"/>
        <v>172</v>
      </c>
    </row>
    <row r="174">
      <c r="A174" s="14">
        <v>173.0</v>
      </c>
      <c r="B174" s="58" t="s">
        <v>834</v>
      </c>
      <c r="C174" s="16" t="s">
        <v>835</v>
      </c>
      <c r="D174" s="5" t="str">
        <f t="shared" si="1"/>
        <v>cust_i72</v>
      </c>
      <c r="E174" s="33" t="b">
        <v>0</v>
      </c>
      <c r="F174" s="16" t="s">
        <v>836</v>
      </c>
      <c r="G174" s="16" t="s">
        <v>837</v>
      </c>
      <c r="H174" s="34" t="s">
        <v>84</v>
      </c>
      <c r="I174" s="19">
        <v>0.0</v>
      </c>
      <c r="J174" s="19">
        <v>1.0</v>
      </c>
      <c r="K174" s="35" t="s">
        <v>9</v>
      </c>
      <c r="L174" s="21">
        <f t="shared" si="2"/>
        <v>173</v>
      </c>
    </row>
    <row r="175">
      <c r="A175" s="30">
        <v>174.0</v>
      </c>
      <c r="B175" s="52" t="s">
        <v>840</v>
      </c>
      <c r="C175" s="23" t="s">
        <v>841</v>
      </c>
      <c r="D175" s="5" t="str">
        <f t="shared" si="1"/>
        <v>cust_i73</v>
      </c>
      <c r="E175" s="36" t="b">
        <v>0</v>
      </c>
      <c r="F175" s="23" t="s">
        <v>843</v>
      </c>
      <c r="G175" s="23" t="s">
        <v>83</v>
      </c>
      <c r="H175" s="37" t="s">
        <v>84</v>
      </c>
      <c r="I175" s="26">
        <v>0.0</v>
      </c>
      <c r="J175" s="26">
        <v>1.0</v>
      </c>
      <c r="K175" s="38" t="s">
        <v>9</v>
      </c>
      <c r="L175" s="21">
        <f t="shared" si="2"/>
        <v>174</v>
      </c>
    </row>
    <row r="176">
      <c r="A176" s="14">
        <v>175.0</v>
      </c>
      <c r="B176" s="58" t="s">
        <v>845</v>
      </c>
      <c r="C176" s="16" t="s">
        <v>846</v>
      </c>
      <c r="D176" s="5" t="str">
        <f t="shared" si="1"/>
        <v>cust_i74</v>
      </c>
      <c r="E176" s="33" t="b">
        <v>0</v>
      </c>
      <c r="F176" s="16" t="s">
        <v>848</v>
      </c>
      <c r="G176" s="16" t="s">
        <v>83</v>
      </c>
      <c r="H176" s="34" t="s">
        <v>84</v>
      </c>
      <c r="I176" s="19">
        <v>0.0</v>
      </c>
      <c r="J176" s="19">
        <v>1.0</v>
      </c>
      <c r="K176" s="35" t="s">
        <v>9</v>
      </c>
      <c r="L176" s="21">
        <f t="shared" si="2"/>
        <v>175</v>
      </c>
    </row>
    <row r="177">
      <c r="A177" s="30">
        <v>176.0</v>
      </c>
      <c r="B177" s="52" t="s">
        <v>850</v>
      </c>
      <c r="C177" s="23" t="s">
        <v>851</v>
      </c>
      <c r="D177" s="5" t="str">
        <f t="shared" si="1"/>
        <v>cust_i75</v>
      </c>
      <c r="E177" s="36" t="b">
        <v>0</v>
      </c>
      <c r="F177" s="23" t="s">
        <v>848</v>
      </c>
      <c r="G177" s="23" t="s">
        <v>83</v>
      </c>
      <c r="H177" s="37" t="s">
        <v>84</v>
      </c>
      <c r="I177" s="26">
        <v>0.0</v>
      </c>
      <c r="J177" s="26">
        <v>1.0</v>
      </c>
      <c r="K177" s="38" t="s">
        <v>9</v>
      </c>
      <c r="L177" s="21">
        <f t="shared" si="2"/>
        <v>176</v>
      </c>
    </row>
    <row r="178">
      <c r="A178" s="14">
        <v>177.0</v>
      </c>
      <c r="B178" s="58" t="s">
        <v>852</v>
      </c>
      <c r="C178" s="16" t="s">
        <v>853</v>
      </c>
      <c r="D178" s="5" t="str">
        <f t="shared" si="1"/>
        <v>cust_i76</v>
      </c>
      <c r="E178" s="33" t="b">
        <v>0</v>
      </c>
      <c r="F178" s="16" t="s">
        <v>855</v>
      </c>
      <c r="G178" s="16" t="s">
        <v>83</v>
      </c>
      <c r="H178" s="34" t="s">
        <v>84</v>
      </c>
      <c r="I178" s="19">
        <v>0.0</v>
      </c>
      <c r="J178" s="19">
        <v>1.0</v>
      </c>
      <c r="K178" s="35" t="s">
        <v>9</v>
      </c>
      <c r="L178" s="21">
        <f t="shared" si="2"/>
        <v>177</v>
      </c>
    </row>
    <row r="179">
      <c r="A179" s="30">
        <v>178.0</v>
      </c>
      <c r="B179" s="52" t="s">
        <v>858</v>
      </c>
      <c r="C179" s="23" t="s">
        <v>859</v>
      </c>
      <c r="D179" s="5" t="str">
        <f t="shared" si="1"/>
        <v>cust_i77</v>
      </c>
      <c r="E179" s="36" t="b">
        <v>0</v>
      </c>
      <c r="F179" s="23" t="s">
        <v>860</v>
      </c>
      <c r="G179" s="23" t="s">
        <v>83</v>
      </c>
      <c r="H179" s="37" t="s">
        <v>84</v>
      </c>
      <c r="I179" s="26">
        <v>0.0</v>
      </c>
      <c r="J179" s="26">
        <v>1.0</v>
      </c>
      <c r="K179" s="38" t="s">
        <v>9</v>
      </c>
      <c r="L179" s="21">
        <f t="shared" si="2"/>
        <v>178</v>
      </c>
    </row>
    <row r="180">
      <c r="A180" s="14">
        <v>179.0</v>
      </c>
      <c r="B180" s="58" t="s">
        <v>862</v>
      </c>
      <c r="C180" s="16" t="s">
        <v>863</v>
      </c>
      <c r="D180" s="5" t="str">
        <f t="shared" si="1"/>
        <v>cust_i78</v>
      </c>
      <c r="E180" s="33" t="b">
        <v>0</v>
      </c>
      <c r="F180" s="16" t="s">
        <v>864</v>
      </c>
      <c r="G180" s="16" t="s">
        <v>83</v>
      </c>
      <c r="H180" s="34" t="s">
        <v>84</v>
      </c>
      <c r="I180" s="19">
        <v>0.0</v>
      </c>
      <c r="J180" s="19">
        <v>1.0</v>
      </c>
      <c r="K180" s="35" t="s">
        <v>9</v>
      </c>
      <c r="L180" s="21">
        <f t="shared" si="2"/>
        <v>179</v>
      </c>
    </row>
    <row r="181">
      <c r="A181" s="30">
        <v>180.0</v>
      </c>
      <c r="B181" s="52" t="s">
        <v>866</v>
      </c>
      <c r="C181" s="23" t="s">
        <v>867</v>
      </c>
      <c r="D181" s="5" t="str">
        <f t="shared" si="1"/>
        <v>cust_i79</v>
      </c>
      <c r="E181" s="36" t="b">
        <v>0</v>
      </c>
      <c r="F181" s="23" t="s">
        <v>868</v>
      </c>
      <c r="G181" s="23" t="s">
        <v>83</v>
      </c>
      <c r="H181" s="37" t="s">
        <v>84</v>
      </c>
      <c r="I181" s="26">
        <v>0.0</v>
      </c>
      <c r="J181" s="26">
        <v>1.0</v>
      </c>
      <c r="K181" s="38" t="s">
        <v>9</v>
      </c>
      <c r="L181" s="21">
        <f t="shared" si="2"/>
        <v>180</v>
      </c>
    </row>
    <row r="182">
      <c r="A182" s="14">
        <v>181.0</v>
      </c>
      <c r="B182" s="58" t="s">
        <v>869</v>
      </c>
      <c r="C182" s="16" t="s">
        <v>870</v>
      </c>
      <c r="D182" s="5" t="str">
        <f t="shared" si="1"/>
        <v>cust_i80</v>
      </c>
      <c r="E182" s="33" t="b">
        <v>0</v>
      </c>
      <c r="F182" s="16" t="s">
        <v>871</v>
      </c>
      <c r="G182" s="16" t="s">
        <v>837</v>
      </c>
      <c r="H182" s="34" t="s">
        <v>84</v>
      </c>
      <c r="I182" s="19">
        <v>0.0</v>
      </c>
      <c r="J182" s="19">
        <v>1.0</v>
      </c>
      <c r="K182" s="35" t="s">
        <v>9</v>
      </c>
      <c r="L182" s="21">
        <f t="shared" si="2"/>
        <v>181</v>
      </c>
    </row>
    <row r="183">
      <c r="A183" s="30">
        <v>182.0</v>
      </c>
      <c r="B183" s="52" t="s">
        <v>872</v>
      </c>
      <c r="C183" s="23" t="s">
        <v>873</v>
      </c>
      <c r="D183" s="5" t="str">
        <f t="shared" si="1"/>
        <v>cust_i81</v>
      </c>
      <c r="E183" s="36" t="b">
        <v>0</v>
      </c>
      <c r="F183" s="23" t="s">
        <v>875</v>
      </c>
      <c r="G183" s="23" t="s">
        <v>573</v>
      </c>
      <c r="H183" s="37" t="s">
        <v>84</v>
      </c>
      <c r="I183" s="26">
        <v>0.0</v>
      </c>
      <c r="J183" s="26">
        <v>1.0</v>
      </c>
      <c r="K183" s="38" t="s">
        <v>9</v>
      </c>
      <c r="L183" s="21">
        <f t="shared" si="2"/>
        <v>182</v>
      </c>
    </row>
    <row r="184">
      <c r="A184" s="14">
        <v>183.0</v>
      </c>
      <c r="B184" s="58" t="s">
        <v>876</v>
      </c>
      <c r="C184" s="16" t="s">
        <v>877</v>
      </c>
      <c r="D184" s="5" t="str">
        <f t="shared" si="1"/>
        <v>cust_i82</v>
      </c>
      <c r="E184" s="33" t="b">
        <v>0</v>
      </c>
      <c r="F184" s="16" t="s">
        <v>878</v>
      </c>
      <c r="G184" s="16" t="s">
        <v>573</v>
      </c>
      <c r="H184" s="34" t="s">
        <v>84</v>
      </c>
      <c r="I184" s="19">
        <v>0.0</v>
      </c>
      <c r="J184" s="19">
        <v>1.0</v>
      </c>
      <c r="K184" s="35" t="s">
        <v>9</v>
      </c>
      <c r="L184" s="21">
        <f t="shared" si="2"/>
        <v>183</v>
      </c>
    </row>
    <row r="185">
      <c r="A185" s="30">
        <v>184.0</v>
      </c>
      <c r="B185" s="52" t="s">
        <v>882</v>
      </c>
      <c r="C185" s="23" t="s">
        <v>883</v>
      </c>
      <c r="D185" s="5" t="str">
        <f t="shared" si="1"/>
        <v>cust_i83</v>
      </c>
      <c r="E185" s="36" t="b">
        <v>0</v>
      </c>
      <c r="F185" s="23" t="s">
        <v>884</v>
      </c>
      <c r="G185" s="23" t="s">
        <v>83</v>
      </c>
      <c r="H185" s="37" t="s">
        <v>84</v>
      </c>
      <c r="I185" s="26">
        <v>0.0</v>
      </c>
      <c r="J185" s="26">
        <v>1.0</v>
      </c>
      <c r="K185" s="38" t="s">
        <v>9</v>
      </c>
      <c r="L185" s="21">
        <f t="shared" si="2"/>
        <v>184</v>
      </c>
    </row>
    <row r="186">
      <c r="A186" s="14">
        <v>185.0</v>
      </c>
      <c r="B186" s="58" t="s">
        <v>885</v>
      </c>
      <c r="C186" s="16" t="s">
        <v>886</v>
      </c>
      <c r="D186" s="5" t="str">
        <f t="shared" si="1"/>
        <v>cust_i84</v>
      </c>
      <c r="E186" s="33" t="b">
        <v>0</v>
      </c>
      <c r="F186" s="16" t="s">
        <v>887</v>
      </c>
      <c r="G186" s="16" t="s">
        <v>888</v>
      </c>
      <c r="H186" s="34" t="s">
        <v>84</v>
      </c>
      <c r="I186" s="19">
        <v>0.0</v>
      </c>
      <c r="J186" s="19">
        <v>1.0</v>
      </c>
      <c r="K186" s="35" t="s">
        <v>9</v>
      </c>
      <c r="L186" s="21">
        <f t="shared" si="2"/>
        <v>185</v>
      </c>
    </row>
    <row r="187">
      <c r="A187" s="30">
        <v>186.0</v>
      </c>
      <c r="B187" s="52" t="s">
        <v>889</v>
      </c>
      <c r="C187" s="23" t="s">
        <v>890</v>
      </c>
      <c r="D187" s="5" t="str">
        <f t="shared" si="1"/>
        <v>cust_i85</v>
      </c>
      <c r="E187" s="36" t="b">
        <v>0</v>
      </c>
      <c r="F187" s="23" t="s">
        <v>887</v>
      </c>
      <c r="G187" s="23" t="s">
        <v>888</v>
      </c>
      <c r="H187" s="37" t="s">
        <v>84</v>
      </c>
      <c r="I187" s="26">
        <v>0.0</v>
      </c>
      <c r="J187" s="26">
        <v>1.0</v>
      </c>
      <c r="K187" s="38" t="s">
        <v>9</v>
      </c>
      <c r="L187" s="21">
        <f t="shared" si="2"/>
        <v>186</v>
      </c>
    </row>
    <row r="188">
      <c r="A188" s="14">
        <v>187.0</v>
      </c>
      <c r="B188" s="58" t="s">
        <v>891</v>
      </c>
      <c r="C188" s="16" t="s">
        <v>892</v>
      </c>
      <c r="D188" s="5" t="str">
        <f t="shared" si="1"/>
        <v>cust_i86</v>
      </c>
      <c r="E188" s="33" t="b">
        <v>0</v>
      </c>
      <c r="F188" s="16" t="s">
        <v>887</v>
      </c>
      <c r="G188" s="16" t="s">
        <v>888</v>
      </c>
      <c r="H188" s="34" t="s">
        <v>84</v>
      </c>
      <c r="I188" s="19">
        <v>0.0</v>
      </c>
      <c r="J188" s="19">
        <v>1.0</v>
      </c>
      <c r="K188" s="35" t="s">
        <v>9</v>
      </c>
      <c r="L188" s="21">
        <f t="shared" si="2"/>
        <v>187</v>
      </c>
    </row>
    <row r="189">
      <c r="A189" s="30">
        <v>188.0</v>
      </c>
      <c r="B189" s="52" t="s">
        <v>893</v>
      </c>
      <c r="C189" s="23" t="s">
        <v>894</v>
      </c>
      <c r="D189" s="5" t="str">
        <f t="shared" si="1"/>
        <v>cust_i87</v>
      </c>
      <c r="E189" s="36" t="b">
        <v>0</v>
      </c>
      <c r="F189" s="23" t="s">
        <v>895</v>
      </c>
      <c r="G189" s="23" t="s">
        <v>767</v>
      </c>
      <c r="H189" s="37" t="s">
        <v>84</v>
      </c>
      <c r="I189" s="26">
        <v>0.0</v>
      </c>
      <c r="J189" s="26">
        <v>1.0</v>
      </c>
      <c r="K189" s="38" t="s">
        <v>9</v>
      </c>
      <c r="L189" s="21">
        <f t="shared" si="2"/>
        <v>188</v>
      </c>
    </row>
    <row r="190">
      <c r="A190" s="14">
        <v>189.0</v>
      </c>
      <c r="B190" s="58" t="s">
        <v>898</v>
      </c>
      <c r="C190" s="16" t="s">
        <v>899</v>
      </c>
      <c r="D190" s="5" t="str">
        <f t="shared" si="1"/>
        <v>cust_i88</v>
      </c>
      <c r="E190" s="33" t="b">
        <v>0</v>
      </c>
      <c r="F190" s="16" t="s">
        <v>900</v>
      </c>
      <c r="G190" s="16" t="s">
        <v>888</v>
      </c>
      <c r="H190" s="34" t="s">
        <v>84</v>
      </c>
      <c r="I190" s="19">
        <v>0.0</v>
      </c>
      <c r="J190" s="19">
        <v>1.0</v>
      </c>
      <c r="K190" s="35" t="s">
        <v>9</v>
      </c>
      <c r="L190" s="21">
        <f t="shared" si="2"/>
        <v>189</v>
      </c>
    </row>
    <row r="191">
      <c r="A191" s="30">
        <v>190.0</v>
      </c>
      <c r="B191" s="52" t="s">
        <v>901</v>
      </c>
      <c r="C191" s="23" t="s">
        <v>903</v>
      </c>
      <c r="D191" s="5" t="str">
        <f t="shared" si="1"/>
        <v>cust_i89</v>
      </c>
      <c r="E191" s="36" t="b">
        <v>0</v>
      </c>
      <c r="F191" s="23" t="s">
        <v>904</v>
      </c>
      <c r="G191" s="23" t="s">
        <v>182</v>
      </c>
      <c r="H191" s="37" t="s">
        <v>84</v>
      </c>
      <c r="I191" s="26">
        <v>0.0</v>
      </c>
      <c r="J191" s="26">
        <v>1.0</v>
      </c>
      <c r="K191" s="38" t="s">
        <v>9</v>
      </c>
      <c r="L191" s="21">
        <f t="shared" si="2"/>
        <v>190</v>
      </c>
    </row>
    <row r="192">
      <c r="A192" s="14">
        <v>191.0</v>
      </c>
      <c r="B192" s="58" t="s">
        <v>907</v>
      </c>
      <c r="C192" s="16" t="s">
        <v>908</v>
      </c>
      <c r="D192" s="5" t="str">
        <f t="shared" si="1"/>
        <v>cust_i90</v>
      </c>
      <c r="E192" s="33" t="b">
        <v>0</v>
      </c>
      <c r="F192" s="16" t="s">
        <v>904</v>
      </c>
      <c r="G192" s="16" t="s">
        <v>182</v>
      </c>
      <c r="H192" s="34" t="s">
        <v>84</v>
      </c>
      <c r="I192" s="19">
        <v>0.0</v>
      </c>
      <c r="J192" s="19">
        <v>1.0</v>
      </c>
      <c r="K192" s="35" t="s">
        <v>9</v>
      </c>
      <c r="L192" s="21">
        <f t="shared" si="2"/>
        <v>191</v>
      </c>
    </row>
    <row r="193">
      <c r="A193" s="30">
        <v>192.0</v>
      </c>
      <c r="B193" s="52" t="s">
        <v>281</v>
      </c>
      <c r="C193" s="23" t="s">
        <v>278</v>
      </c>
      <c r="D193" s="5" t="str">
        <f t="shared" si="1"/>
        <v>bi_wh_address_be</v>
      </c>
      <c r="E193" s="36" t="b">
        <v>1</v>
      </c>
      <c r="F193" s="23" t="s">
        <v>910</v>
      </c>
      <c r="G193" s="23" t="s">
        <v>911</v>
      </c>
      <c r="H193" s="23" t="s">
        <v>8</v>
      </c>
      <c r="I193" s="56">
        <v>0.0</v>
      </c>
      <c r="J193" s="56">
        <v>0.0</v>
      </c>
      <c r="K193" s="27"/>
    </row>
    <row r="194">
      <c r="A194" s="14">
        <v>193.0</v>
      </c>
      <c r="B194" s="58" t="s">
        <v>287</v>
      </c>
      <c r="C194" s="16" t="s">
        <v>285</v>
      </c>
      <c r="D194" s="5" t="str">
        <f t="shared" si="1"/>
        <v>bi_wh_address_uk</v>
      </c>
      <c r="E194" s="33" t="b">
        <v>1</v>
      </c>
      <c r="F194" s="16" t="s">
        <v>910</v>
      </c>
      <c r="G194" s="16" t="s">
        <v>83</v>
      </c>
      <c r="H194" s="16" t="s">
        <v>84</v>
      </c>
      <c r="I194" s="59">
        <v>0.0</v>
      </c>
      <c r="J194" s="59">
        <v>0.0</v>
      </c>
      <c r="K194" s="20"/>
    </row>
    <row r="195">
      <c r="A195" s="30">
        <v>194.0</v>
      </c>
      <c r="B195" s="52" t="s">
        <v>293</v>
      </c>
      <c r="C195" s="23" t="s">
        <v>289</v>
      </c>
      <c r="D195" s="5" t="str">
        <f t="shared" si="1"/>
        <v>bi_wh_address_us</v>
      </c>
      <c r="E195" s="36" t="b">
        <v>1</v>
      </c>
      <c r="F195" s="23" t="s">
        <v>910</v>
      </c>
      <c r="G195" s="23" t="s">
        <v>132</v>
      </c>
      <c r="H195" s="23" t="s">
        <v>133</v>
      </c>
      <c r="I195" s="56">
        <v>0.0</v>
      </c>
      <c r="J195" s="56">
        <v>0.0</v>
      </c>
      <c r="K195" s="27"/>
    </row>
    <row r="196">
      <c r="A196" s="14">
        <v>195.0</v>
      </c>
      <c r="B196" s="93" t="s">
        <v>300</v>
      </c>
      <c r="C196" s="94" t="s">
        <v>296</v>
      </c>
      <c r="D196" s="5" t="str">
        <f t="shared" si="1"/>
        <v>bi_wh_address_sg</v>
      </c>
      <c r="E196" s="95" t="b">
        <v>1</v>
      </c>
      <c r="F196" s="94" t="s">
        <v>910</v>
      </c>
      <c r="G196" s="94" t="s">
        <v>442</v>
      </c>
      <c r="H196" s="94" t="s">
        <v>444</v>
      </c>
      <c r="I196" s="96">
        <v>0.0</v>
      </c>
      <c r="J196" s="96">
        <v>0.0</v>
      </c>
      <c r="K196" s="97"/>
    </row>
  </sheetData>
  <hyperlinks>
    <hyperlink r:id="rId1" ref="H18"/>
    <hyperlink r:id="rId2" ref="H19"/>
    <hyperlink r:id="rId3" ref="H20"/>
    <hyperlink r:id="rId4" ref="H21"/>
    <hyperlink r:id="rId5" ref="H22"/>
    <hyperlink r:id="rId6" ref="H23"/>
    <hyperlink r:id="rId7" ref="H24"/>
    <hyperlink r:id="rId8" ref="H25"/>
    <hyperlink r:id="rId9" ref="H26"/>
    <hyperlink r:id="rId10" ref="H27"/>
    <hyperlink r:id="rId11" ref="H28"/>
    <hyperlink r:id="rId12" ref="H29"/>
    <hyperlink r:id="rId13" ref="H30"/>
    <hyperlink r:id="rId14" ref="H31"/>
    <hyperlink r:id="rId15" ref="H32"/>
    <hyperlink r:id="rId16" ref="H33"/>
    <hyperlink r:id="rId17" ref="H34"/>
    <hyperlink r:id="rId18" ref="H35"/>
    <hyperlink r:id="rId19" ref="H36"/>
    <hyperlink r:id="rId20" ref="H37"/>
    <hyperlink r:id="rId21" ref="H38"/>
    <hyperlink r:id="rId22" ref="H39"/>
    <hyperlink r:id="rId23" ref="H40"/>
    <hyperlink r:id="rId24" ref="H41"/>
    <hyperlink r:id="rId25" ref="H42"/>
    <hyperlink r:id="rId26" ref="H43"/>
    <hyperlink r:id="rId27" ref="H44"/>
    <hyperlink r:id="rId28" ref="H45"/>
    <hyperlink r:id="rId29" ref="H46"/>
    <hyperlink r:id="rId30" ref="H47"/>
    <hyperlink r:id="rId31" ref="H48"/>
    <hyperlink r:id="rId32" ref="H49"/>
    <hyperlink r:id="rId33" ref="H50"/>
    <hyperlink r:id="rId34" ref="H51"/>
    <hyperlink r:id="rId35" ref="H52"/>
    <hyperlink r:id="rId36" ref="H53"/>
    <hyperlink r:id="rId37" ref="H54"/>
    <hyperlink r:id="rId38" ref="H55"/>
    <hyperlink r:id="rId39" ref="H56"/>
    <hyperlink r:id="rId40" ref="H57"/>
    <hyperlink r:id="rId41" ref="H58"/>
    <hyperlink r:id="rId42" ref="H59"/>
    <hyperlink r:id="rId43" ref="H60"/>
    <hyperlink r:id="rId44" ref="H61"/>
    <hyperlink r:id="rId45" ref="H62"/>
    <hyperlink r:id="rId46" ref="H63"/>
    <hyperlink r:id="rId47" ref="H64"/>
    <hyperlink r:id="rId48" ref="H65"/>
    <hyperlink r:id="rId49" ref="H66"/>
    <hyperlink r:id="rId50" ref="H67"/>
    <hyperlink r:id="rId51" ref="H68"/>
    <hyperlink r:id="rId52" ref="H69"/>
    <hyperlink r:id="rId53" ref="H70"/>
    <hyperlink r:id="rId54" ref="H71"/>
    <hyperlink r:id="rId55" ref="H72"/>
    <hyperlink r:id="rId56" ref="H73"/>
    <hyperlink r:id="rId57" ref="H74"/>
    <hyperlink r:id="rId58" ref="H75"/>
    <hyperlink r:id="rId59" ref="H76"/>
    <hyperlink r:id="rId60" ref="H77"/>
    <hyperlink r:id="rId61" ref="H78"/>
    <hyperlink r:id="rId62" ref="H79"/>
    <hyperlink r:id="rId63" ref="H80"/>
    <hyperlink r:id="rId64" ref="H81"/>
    <hyperlink r:id="rId65" ref="H82"/>
    <hyperlink r:id="rId66" ref="H83"/>
    <hyperlink r:id="rId67" ref="H84"/>
    <hyperlink r:id="rId68" ref="H85"/>
    <hyperlink r:id="rId69" ref="H86"/>
    <hyperlink r:id="rId70" ref="H87"/>
    <hyperlink r:id="rId71" ref="H88"/>
    <hyperlink r:id="rId72" ref="H89"/>
    <hyperlink r:id="rId73" ref="H90"/>
    <hyperlink r:id="rId74" ref="H91"/>
    <hyperlink r:id="rId75" ref="H92"/>
    <hyperlink r:id="rId76" ref="H93"/>
    <hyperlink r:id="rId77" ref="H94"/>
    <hyperlink r:id="rId78" ref="H95"/>
    <hyperlink r:id="rId79" ref="H96"/>
    <hyperlink r:id="rId80" ref="H97"/>
    <hyperlink r:id="rId81" ref="H98"/>
    <hyperlink r:id="rId82" ref="H99"/>
    <hyperlink r:id="rId83" ref="H100"/>
    <hyperlink r:id="rId84" ref="H101"/>
    <hyperlink r:id="rId85" ref="H102"/>
    <hyperlink r:id="rId86" ref="H103"/>
    <hyperlink r:id="rId87" ref="H104"/>
    <hyperlink r:id="rId88" ref="H105"/>
    <hyperlink r:id="rId89" ref="H106"/>
    <hyperlink r:id="rId90" ref="H107"/>
    <hyperlink r:id="rId91" ref="H108"/>
    <hyperlink r:id="rId92" ref="H109"/>
    <hyperlink r:id="rId93" ref="H110"/>
    <hyperlink r:id="rId94" ref="H111"/>
    <hyperlink r:id="rId95" ref="H112"/>
    <hyperlink r:id="rId96" ref="H113"/>
    <hyperlink r:id="rId97" ref="H114"/>
    <hyperlink r:id="rId98" ref="H115"/>
    <hyperlink r:id="rId99" ref="H116"/>
    <hyperlink r:id="rId100" ref="H117"/>
    <hyperlink r:id="rId101" ref="H118"/>
    <hyperlink r:id="rId102" ref="H119"/>
    <hyperlink r:id="rId103" ref="H120"/>
    <hyperlink r:id="rId104" ref="H121"/>
    <hyperlink r:id="rId105" ref="H122"/>
    <hyperlink r:id="rId106" ref="H123"/>
    <hyperlink r:id="rId107" ref="H124"/>
    <hyperlink r:id="rId108" ref="H125"/>
    <hyperlink r:id="rId109" ref="H126"/>
    <hyperlink r:id="rId110" ref="H127"/>
    <hyperlink r:id="rId111" ref="H128"/>
    <hyperlink r:id="rId112" ref="H129"/>
    <hyperlink r:id="rId113" ref="H130"/>
    <hyperlink r:id="rId114" ref="H131"/>
    <hyperlink r:id="rId115" ref="H132"/>
    <hyperlink r:id="rId116" ref="H133"/>
    <hyperlink r:id="rId117" ref="H134"/>
    <hyperlink r:id="rId118" ref="H135"/>
    <hyperlink r:id="rId119" ref="H136"/>
    <hyperlink r:id="rId120" ref="H137"/>
    <hyperlink r:id="rId121" ref="H138"/>
    <hyperlink r:id="rId122" ref="H139"/>
    <hyperlink r:id="rId123" ref="H140"/>
    <hyperlink r:id="rId124" ref="H141"/>
    <hyperlink r:id="rId125" ref="H142"/>
    <hyperlink r:id="rId126" ref="H143"/>
    <hyperlink r:id="rId127" ref="H144"/>
    <hyperlink r:id="rId128" ref="H145"/>
    <hyperlink r:id="rId129" ref="H146"/>
    <hyperlink r:id="rId130" ref="H147"/>
    <hyperlink r:id="rId131" ref="H148"/>
    <hyperlink r:id="rId132" ref="H149"/>
    <hyperlink r:id="rId133" ref="H150"/>
    <hyperlink r:id="rId134" ref="H151"/>
    <hyperlink r:id="rId135" ref="H152"/>
    <hyperlink r:id="rId136" ref="H153"/>
    <hyperlink r:id="rId137" ref="H154"/>
    <hyperlink r:id="rId138" ref="H155"/>
    <hyperlink r:id="rId139" ref="H156"/>
    <hyperlink r:id="rId140" ref="H157"/>
    <hyperlink r:id="rId141" ref="H158"/>
    <hyperlink r:id="rId142" ref="H159"/>
    <hyperlink r:id="rId143" ref="H160"/>
    <hyperlink r:id="rId144" ref="H161"/>
    <hyperlink r:id="rId145" ref="H162"/>
    <hyperlink r:id="rId146" ref="H163"/>
    <hyperlink r:id="rId147" ref="H164"/>
    <hyperlink r:id="rId148" ref="H165"/>
    <hyperlink r:id="rId149" ref="H166"/>
    <hyperlink r:id="rId150" ref="H167"/>
    <hyperlink r:id="rId151" ref="H168"/>
    <hyperlink r:id="rId152" ref="H169"/>
    <hyperlink r:id="rId153" ref="H170"/>
    <hyperlink r:id="rId154" ref="H171"/>
    <hyperlink r:id="rId155" ref="H172"/>
    <hyperlink r:id="rId156" ref="H173"/>
    <hyperlink r:id="rId157" ref="H174"/>
    <hyperlink r:id="rId158" ref="H175"/>
    <hyperlink r:id="rId159" ref="H176"/>
    <hyperlink r:id="rId160" ref="H177"/>
    <hyperlink r:id="rId161" ref="H178"/>
    <hyperlink r:id="rId162" ref="H179"/>
    <hyperlink r:id="rId163" ref="H180"/>
    <hyperlink r:id="rId164" ref="H181"/>
    <hyperlink r:id="rId165" ref="H182"/>
    <hyperlink r:id="rId166" ref="H183"/>
    <hyperlink r:id="rId167" ref="H184"/>
    <hyperlink r:id="rId168" ref="H185"/>
    <hyperlink r:id="rId169" ref="H186"/>
    <hyperlink r:id="rId170" ref="H187"/>
    <hyperlink r:id="rId171" ref="H188"/>
    <hyperlink r:id="rId172" ref="H189"/>
    <hyperlink r:id="rId173" ref="H190"/>
    <hyperlink r:id="rId174" ref="H191"/>
    <hyperlink r:id="rId175" ref="H192"/>
  </hyperlinks>
  <drawing r:id="rId176"/>
  <tableParts count="2">
    <tablePart r:id="rId179"/>
    <tablePart r:id="rId18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3" max="3" width="18.13"/>
    <col customWidth="1" min="4" max="4" width="28.25"/>
    <col customWidth="1" min="5" max="5" width="18.13"/>
    <col customWidth="1" min="6" max="6" width="27.38"/>
  </cols>
  <sheetData>
    <row r="1">
      <c r="A1" s="2" t="s">
        <v>1</v>
      </c>
      <c r="B1" s="4" t="s">
        <v>0</v>
      </c>
      <c r="C1" s="4" t="s">
        <v>2</v>
      </c>
      <c r="D1" s="5" t="s">
        <v>11</v>
      </c>
      <c r="F1" s="2" t="s">
        <v>12</v>
      </c>
      <c r="G1" s="3"/>
    </row>
    <row r="2">
      <c r="A2" s="6">
        <v>1.0</v>
      </c>
      <c r="B2" s="7" t="s">
        <v>13</v>
      </c>
      <c r="C2" s="8" t="s">
        <v>14</v>
      </c>
      <c r="D2" s="10" t="str">
        <f t="shared" ref="D2:D17" si="1">substitute(LOWER(C2)," ",".")&amp;"@example.com"</f>
        <v>julien.rousseau@example.com</v>
      </c>
      <c r="E2" s="5"/>
      <c r="F2" s="7" t="s">
        <v>16</v>
      </c>
      <c r="G2" s="3"/>
    </row>
    <row r="3">
      <c r="A3" s="6">
        <v>2.0</v>
      </c>
      <c r="B3" s="7" t="s">
        <v>17</v>
      </c>
      <c r="C3" s="8" t="s">
        <v>18</v>
      </c>
      <c r="D3" s="10" t="str">
        <f t="shared" si="1"/>
        <v>hugo.moliteur@example.com</v>
      </c>
      <c r="E3" s="5"/>
      <c r="F3" s="7" t="s">
        <v>19</v>
      </c>
      <c r="G3" s="3"/>
    </row>
    <row r="4">
      <c r="A4" s="6">
        <v>3.0</v>
      </c>
      <c r="B4" s="7" t="s">
        <v>20</v>
      </c>
      <c r="C4" s="8" t="s">
        <v>21</v>
      </c>
      <c r="D4" s="10" t="str">
        <f t="shared" si="1"/>
        <v>olivier.ouassini@example.com</v>
      </c>
      <c r="F4" s="7" t="s">
        <v>22</v>
      </c>
      <c r="G4" s="3"/>
    </row>
    <row r="5">
      <c r="A5" s="6">
        <v>4.0</v>
      </c>
      <c r="B5" s="7" t="s">
        <v>23</v>
      </c>
      <c r="C5" s="8" t="s">
        <v>24</v>
      </c>
      <c r="D5" s="10" t="str">
        <f t="shared" si="1"/>
        <v>gabriel.coussement@example.com</v>
      </c>
      <c r="F5" s="7" t="s">
        <v>25</v>
      </c>
      <c r="G5" s="3"/>
    </row>
    <row r="6">
      <c r="A6" s="6">
        <v>5.0</v>
      </c>
      <c r="B6" s="7" t="s">
        <v>26</v>
      </c>
      <c r="C6" s="8" t="s">
        <v>27</v>
      </c>
      <c r="D6" s="10" t="str">
        <f t="shared" si="1"/>
        <v>damien.lucini@example.com</v>
      </c>
      <c r="E6" s="7" t="s">
        <v>13</v>
      </c>
      <c r="F6" s="7" t="s">
        <v>28</v>
      </c>
      <c r="G6" s="3" t="s">
        <v>29</v>
      </c>
    </row>
    <row r="7">
      <c r="A7" s="6">
        <v>6.0</v>
      </c>
      <c r="B7" s="7" t="s">
        <v>30</v>
      </c>
      <c r="C7" s="8" t="s">
        <v>31</v>
      </c>
      <c r="D7" s="10" t="str">
        <f t="shared" si="1"/>
        <v>karim.stampe@example.com</v>
      </c>
      <c r="E7" s="3" t="s">
        <v>13</v>
      </c>
      <c r="F7" s="7" t="s">
        <v>32</v>
      </c>
      <c r="G7" s="3" t="s">
        <v>29</v>
      </c>
    </row>
    <row r="8">
      <c r="A8" s="6">
        <v>7.0</v>
      </c>
      <c r="B8" s="7" t="s">
        <v>33</v>
      </c>
      <c r="C8" s="8" t="s">
        <v>34</v>
      </c>
      <c r="D8" s="10" t="str">
        <f t="shared" si="1"/>
        <v>clement.baivier@example.com</v>
      </c>
      <c r="E8" s="7" t="s">
        <v>13</v>
      </c>
      <c r="F8" s="7" t="s">
        <v>35</v>
      </c>
      <c r="G8" s="3" t="s">
        <v>29</v>
      </c>
    </row>
    <row r="9">
      <c r="A9" s="6">
        <v>8.0</v>
      </c>
      <c r="B9" s="7" t="s">
        <v>36</v>
      </c>
      <c r="C9" s="12" t="s">
        <v>37</v>
      </c>
      <c r="D9" s="10" t="str">
        <f t="shared" si="1"/>
        <v>antoine.hennebert@example.com</v>
      </c>
      <c r="E9" s="3" t="s">
        <v>17</v>
      </c>
      <c r="F9" s="7" t="s">
        <v>38</v>
      </c>
      <c r="G9" s="3" t="s">
        <v>39</v>
      </c>
    </row>
    <row r="10">
      <c r="A10" s="6">
        <v>9.0</v>
      </c>
      <c r="B10" s="7" t="s">
        <v>40</v>
      </c>
      <c r="C10" s="8" t="s">
        <v>41</v>
      </c>
      <c r="D10" s="10" t="str">
        <f t="shared" si="1"/>
        <v>quentin.domken@example.com</v>
      </c>
      <c r="E10" s="7" t="s">
        <v>17</v>
      </c>
      <c r="F10" s="7" t="s">
        <v>42</v>
      </c>
      <c r="G10" s="3" t="s">
        <v>39</v>
      </c>
    </row>
    <row r="11">
      <c r="A11" s="6">
        <v>10.0</v>
      </c>
      <c r="B11" s="7" t="s">
        <v>43</v>
      </c>
      <c r="C11" s="8" t="s">
        <v>44</v>
      </c>
      <c r="D11" s="10" t="str">
        <f t="shared" si="1"/>
        <v>edoardo.bamba@example.com</v>
      </c>
      <c r="E11" s="3" t="s">
        <v>17</v>
      </c>
      <c r="F11" s="7" t="s">
        <v>45</v>
      </c>
      <c r="G11" s="3" t="s">
        <v>39</v>
      </c>
    </row>
    <row r="12">
      <c r="A12" s="6">
        <v>11.0</v>
      </c>
      <c r="B12" s="7" t="s">
        <v>46</v>
      </c>
      <c r="C12" s="12" t="s">
        <v>47</v>
      </c>
      <c r="D12" s="10" t="str">
        <f t="shared" si="1"/>
        <v>andre.moreau@example.com</v>
      </c>
      <c r="E12" s="7" t="s">
        <v>20</v>
      </c>
      <c r="F12" s="7" t="s">
        <v>48</v>
      </c>
      <c r="G12" s="3" t="s">
        <v>49</v>
      </c>
    </row>
    <row r="13">
      <c r="A13" s="6">
        <v>12.0</v>
      </c>
      <c r="B13" s="7" t="s">
        <v>50</v>
      </c>
      <c r="C13" s="12" t="s">
        <v>51</v>
      </c>
      <c r="D13" s="10" t="str">
        <f t="shared" si="1"/>
        <v>daphne.pirovano@example.com</v>
      </c>
      <c r="E13" s="3" t="s">
        <v>20</v>
      </c>
      <c r="F13" s="7" t="s">
        <v>52</v>
      </c>
      <c r="G13" s="3" t="s">
        <v>49</v>
      </c>
    </row>
    <row r="14">
      <c r="A14" s="6">
        <v>13.0</v>
      </c>
      <c r="B14" s="7" t="s">
        <v>53</v>
      </c>
      <c r="C14" s="12" t="s">
        <v>54</v>
      </c>
      <c r="D14" s="10" t="str">
        <f t="shared" si="1"/>
        <v>rosalie.dejong@example.com</v>
      </c>
      <c r="E14" s="7" t="s">
        <v>20</v>
      </c>
      <c r="F14" s="7" t="s">
        <v>55</v>
      </c>
      <c r="G14" s="3" t="s">
        <v>49</v>
      </c>
    </row>
    <row r="15">
      <c r="A15" s="6">
        <v>14.0</v>
      </c>
      <c r="B15" s="7" t="s">
        <v>56</v>
      </c>
      <c r="C15" s="12" t="s">
        <v>57</v>
      </c>
      <c r="D15" s="10" t="str">
        <f t="shared" si="1"/>
        <v>noemie.cocina@example.com</v>
      </c>
      <c r="E15" s="3" t="s">
        <v>23</v>
      </c>
      <c r="F15" s="7" t="s">
        <v>58</v>
      </c>
      <c r="G15" s="3" t="s">
        <v>59</v>
      </c>
    </row>
    <row r="16">
      <c r="A16" s="6">
        <v>15.0</v>
      </c>
      <c r="B16" s="7" t="s">
        <v>60</v>
      </c>
      <c r="C16" s="12" t="s">
        <v>61</v>
      </c>
      <c r="D16" s="10" t="str">
        <f t="shared" si="1"/>
        <v>marion.thomas@example.com</v>
      </c>
      <c r="E16" s="7" t="s">
        <v>23</v>
      </c>
      <c r="F16" s="7" t="s">
        <v>62</v>
      </c>
      <c r="G16" s="3" t="s">
        <v>59</v>
      </c>
    </row>
    <row r="17">
      <c r="A17" s="1">
        <v>16.0</v>
      </c>
      <c r="B17" s="3" t="s">
        <v>63</v>
      </c>
      <c r="C17" s="12" t="s">
        <v>64</v>
      </c>
      <c r="D17" s="10" t="str">
        <f t="shared" si="1"/>
        <v>test@example.com</v>
      </c>
      <c r="E17" s="3" t="s">
        <v>23</v>
      </c>
      <c r="F17" s="3" t="s">
        <v>65</v>
      </c>
      <c r="G17" s="3" t="s">
        <v>59</v>
      </c>
    </row>
    <row r="24">
      <c r="D2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72</v>
      </c>
      <c r="D1" s="1" t="s">
        <v>73</v>
      </c>
      <c r="E1" s="3" t="s">
        <v>74</v>
      </c>
      <c r="F1" s="3" t="s">
        <v>75</v>
      </c>
    </row>
    <row r="2">
      <c r="A2" s="3" t="s">
        <v>76</v>
      </c>
      <c r="B2" s="3" t="s">
        <v>29</v>
      </c>
      <c r="C2" s="3" t="s">
        <v>13</v>
      </c>
      <c r="D2" s="21" t="str">
        <f>IFERROR(__xludf.DUMMYFUNCTION("textjoin("","",1,FILTER(res.users!B:B,res.users!G:G=B2))"),"user_g_1,user_g_2,user_g_3")</f>
        <v>user_g_1,user_g_2,user_g_3</v>
      </c>
      <c r="E2" s="28" t="b">
        <v>1</v>
      </c>
      <c r="F2" s="28" t="b">
        <v>1</v>
      </c>
    </row>
    <row r="3">
      <c r="A3" s="3" t="s">
        <v>77</v>
      </c>
      <c r="B3" s="3" t="s">
        <v>39</v>
      </c>
      <c r="C3" s="3" t="s">
        <v>17</v>
      </c>
      <c r="D3" s="21" t="str">
        <f>IFERROR(__xludf.DUMMYFUNCTION("textjoin("","",1,FILTER(res.users!B:B,res.users!G:G=B3))"),"user_h_1,user_h_2,user_h_3")</f>
        <v>user_h_1,user_h_2,user_h_3</v>
      </c>
      <c r="E3" s="28" t="b">
        <v>1</v>
      </c>
      <c r="F3" s="28" t="b">
        <v>1</v>
      </c>
    </row>
    <row r="4">
      <c r="A4" s="3" t="s">
        <v>78</v>
      </c>
      <c r="B4" s="3" t="s">
        <v>49</v>
      </c>
      <c r="C4" s="3" t="s">
        <v>20</v>
      </c>
      <c r="D4" s="21" t="str">
        <f>IFERROR(__xludf.DUMMYFUNCTION("textjoin("","",1,FILTER(res.users!B:B,res.users!G:G=B4))"),"user_r_1,user_r_2,user_r_3")</f>
        <v>user_r_1,user_r_2,user_r_3</v>
      </c>
      <c r="E4" s="28" t="b">
        <v>1</v>
      </c>
      <c r="F4" s="28" t="b">
        <v>1</v>
      </c>
    </row>
    <row r="5">
      <c r="A5" s="3" t="s">
        <v>79</v>
      </c>
      <c r="B5" s="3" t="s">
        <v>59</v>
      </c>
      <c r="C5" s="3" t="s">
        <v>23</v>
      </c>
      <c r="D5" s="21" t="str">
        <f>IFERROR(__xludf.DUMMYFUNCTION("textjoin("","",1,FILTER(res.users!B:B,res.users!G:G=B5))"),"user_s_1,user_s_2,user_s_3")</f>
        <v>user_s_1,user_s_2,user_s_3</v>
      </c>
      <c r="E5" s="28" t="b">
        <v>1</v>
      </c>
      <c r="F5" s="28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39" t="s">
        <v>2</v>
      </c>
      <c r="C1" s="39" t="s">
        <v>92</v>
      </c>
      <c r="D1" s="39" t="s">
        <v>94</v>
      </c>
    </row>
    <row r="2">
      <c r="A2" s="40" t="s">
        <v>97</v>
      </c>
      <c r="B2" s="42" t="s">
        <v>99</v>
      </c>
      <c r="C2" s="44">
        <v>10.0</v>
      </c>
      <c r="D2" s="45" t="b">
        <v>0</v>
      </c>
    </row>
    <row r="3">
      <c r="A3" s="43" t="s">
        <v>105</v>
      </c>
      <c r="B3" s="47" t="s">
        <v>109</v>
      </c>
      <c r="C3" s="48">
        <v>20.0</v>
      </c>
      <c r="D3" s="49" t="b">
        <v>0</v>
      </c>
    </row>
    <row r="4">
      <c r="A4" s="40" t="s">
        <v>117</v>
      </c>
      <c r="B4" s="42" t="s">
        <v>120</v>
      </c>
      <c r="C4" s="44">
        <v>30.0</v>
      </c>
      <c r="D4" s="45" t="b">
        <v>0</v>
      </c>
    </row>
    <row r="5">
      <c r="A5" s="43" t="s">
        <v>125</v>
      </c>
      <c r="B5" s="47" t="s">
        <v>126</v>
      </c>
      <c r="C5" s="48">
        <v>40.0</v>
      </c>
      <c r="D5" s="49" t="b">
        <v>0</v>
      </c>
    </row>
    <row r="6">
      <c r="A6" s="53" t="s">
        <v>127</v>
      </c>
      <c r="B6" s="54" t="s">
        <v>130</v>
      </c>
      <c r="C6" s="55">
        <v>50.0</v>
      </c>
      <c r="D6" s="57" t="b">
        <v>1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39" t="s">
        <v>2</v>
      </c>
    </row>
    <row r="2">
      <c r="A2" s="40" t="s">
        <v>93</v>
      </c>
      <c r="B2" s="41" t="s">
        <v>98</v>
      </c>
    </row>
    <row r="3">
      <c r="A3" s="43" t="s">
        <v>102</v>
      </c>
      <c r="B3" s="46" t="s">
        <v>106</v>
      </c>
    </row>
    <row r="4">
      <c r="A4" s="40" t="s">
        <v>110</v>
      </c>
      <c r="B4" s="41" t="s">
        <v>113</v>
      </c>
    </row>
    <row r="5">
      <c r="A5" s="50" t="s">
        <v>116</v>
      </c>
      <c r="B5" s="51" t="s">
        <v>122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39" t="s">
        <v>2</v>
      </c>
    </row>
    <row r="2">
      <c r="A2" s="60" t="s">
        <v>156</v>
      </c>
      <c r="B2" s="61" t="s">
        <v>160</v>
      </c>
    </row>
    <row r="3">
      <c r="A3" s="62" t="s">
        <v>166</v>
      </c>
      <c r="B3" s="63" t="s">
        <v>168</v>
      </c>
    </row>
    <row r="4">
      <c r="A4" s="60" t="s">
        <v>173</v>
      </c>
      <c r="B4" s="61" t="s">
        <v>174</v>
      </c>
    </row>
    <row r="5">
      <c r="A5" s="64" t="s">
        <v>176</v>
      </c>
      <c r="B5" s="65" t="s">
        <v>178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39" t="s">
        <v>2</v>
      </c>
    </row>
    <row r="2">
      <c r="A2" s="60" t="s">
        <v>194</v>
      </c>
      <c r="B2" s="61" t="s">
        <v>199</v>
      </c>
    </row>
    <row r="3">
      <c r="A3" s="62" t="s">
        <v>202</v>
      </c>
      <c r="B3" s="63" t="s">
        <v>204</v>
      </c>
    </row>
    <row r="4">
      <c r="A4" s="60" t="s">
        <v>205</v>
      </c>
      <c r="B4" s="61" t="s">
        <v>208</v>
      </c>
    </row>
    <row r="5">
      <c r="A5" s="64" t="s">
        <v>210</v>
      </c>
      <c r="B5" s="65" t="s">
        <v>211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39" t="s">
        <v>2</v>
      </c>
    </row>
    <row r="2">
      <c r="A2" s="60" t="s">
        <v>222</v>
      </c>
      <c r="B2" s="61" t="s">
        <v>227</v>
      </c>
    </row>
    <row r="3">
      <c r="A3" s="62" t="s">
        <v>230</v>
      </c>
      <c r="B3" s="63" t="s">
        <v>231</v>
      </c>
    </row>
    <row r="4">
      <c r="A4" s="60"/>
      <c r="B4" s="61"/>
    </row>
    <row r="5">
      <c r="A5" s="64"/>
      <c r="B5" s="6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2.25"/>
    <col customWidth="1" min="3" max="3" width="18.5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12</v>
      </c>
      <c r="F1" s="1" t="s">
        <v>273</v>
      </c>
      <c r="G1" s="1" t="s">
        <v>275</v>
      </c>
    </row>
    <row r="2">
      <c r="A2" s="1" t="s">
        <v>277</v>
      </c>
      <c r="B2" s="1" t="s">
        <v>278</v>
      </c>
      <c r="C2" s="1" t="s">
        <v>279</v>
      </c>
      <c r="D2" s="1" t="s">
        <v>5</v>
      </c>
      <c r="E2" s="1" t="s">
        <v>281</v>
      </c>
      <c r="F2" s="1" t="s">
        <v>282</v>
      </c>
      <c r="G2" s="1" t="s">
        <v>283</v>
      </c>
    </row>
    <row r="3">
      <c r="A3" s="1" t="s">
        <v>284</v>
      </c>
      <c r="B3" s="1" t="s">
        <v>285</v>
      </c>
      <c r="C3" s="1" t="s">
        <v>286</v>
      </c>
      <c r="D3" s="1" t="s">
        <v>5</v>
      </c>
      <c r="E3" s="1" t="s">
        <v>287</v>
      </c>
      <c r="F3" s="1" t="s">
        <v>282</v>
      </c>
      <c r="G3" s="1" t="s">
        <v>283</v>
      </c>
    </row>
    <row r="4">
      <c r="A4" s="1" t="s">
        <v>288</v>
      </c>
      <c r="B4" s="1" t="s">
        <v>289</v>
      </c>
      <c r="C4" s="1" t="s">
        <v>291</v>
      </c>
      <c r="D4" s="1" t="s">
        <v>5</v>
      </c>
      <c r="E4" s="1" t="s">
        <v>293</v>
      </c>
      <c r="F4" s="1" t="s">
        <v>282</v>
      </c>
      <c r="G4" s="1" t="s">
        <v>283</v>
      </c>
    </row>
    <row r="5">
      <c r="A5" s="1" t="s">
        <v>295</v>
      </c>
      <c r="B5" s="1" t="s">
        <v>296</v>
      </c>
      <c r="C5" s="1" t="s">
        <v>298</v>
      </c>
      <c r="D5" s="1" t="s">
        <v>5</v>
      </c>
      <c r="E5" s="1" t="s">
        <v>300</v>
      </c>
      <c r="F5" s="1" t="s">
        <v>282</v>
      </c>
      <c r="G5" s="1" t="s">
        <v>283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32.25"/>
    <col customWidth="1" min="3" max="3" width="18.5"/>
  </cols>
  <sheetData>
    <row r="1">
      <c r="A1" s="66" t="s">
        <v>0</v>
      </c>
      <c r="B1" s="66" t="s">
        <v>2</v>
      </c>
      <c r="C1" s="66" t="s">
        <v>314</v>
      </c>
      <c r="D1" s="66" t="s">
        <v>272</v>
      </c>
      <c r="E1" s="66" t="s">
        <v>320</v>
      </c>
    </row>
    <row r="2">
      <c r="A2" s="67" t="s">
        <v>321</v>
      </c>
      <c r="B2" s="68" t="s">
        <v>326</v>
      </c>
      <c r="C2" s="68" t="s">
        <v>328</v>
      </c>
      <c r="D2" s="68" t="s">
        <v>5</v>
      </c>
      <c r="E2" s="69"/>
    </row>
    <row r="3">
      <c r="A3" s="70" t="s">
        <v>335</v>
      </c>
      <c r="B3" s="71" t="s">
        <v>339</v>
      </c>
      <c r="C3" s="71" t="s">
        <v>343</v>
      </c>
      <c r="D3" s="71" t="s">
        <v>5</v>
      </c>
      <c r="E3" s="72" t="s">
        <v>321</v>
      </c>
    </row>
    <row r="4">
      <c r="A4" s="67" t="s">
        <v>352</v>
      </c>
      <c r="B4" s="68" t="s">
        <v>354</v>
      </c>
      <c r="C4" s="68" t="s">
        <v>343</v>
      </c>
      <c r="D4" s="68" t="s">
        <v>5</v>
      </c>
      <c r="E4" s="73" t="s">
        <v>321</v>
      </c>
    </row>
    <row r="5">
      <c r="A5" s="70" t="s">
        <v>365</v>
      </c>
      <c r="B5" s="71" t="s">
        <v>367</v>
      </c>
      <c r="C5" s="71" t="s">
        <v>343</v>
      </c>
      <c r="D5" s="71" t="s">
        <v>5</v>
      </c>
      <c r="E5" s="72" t="s">
        <v>321</v>
      </c>
    </row>
    <row r="6">
      <c r="A6" s="53" t="s">
        <v>375</v>
      </c>
      <c r="B6" s="54" t="s">
        <v>378</v>
      </c>
      <c r="C6" s="54" t="s">
        <v>343</v>
      </c>
      <c r="D6" s="54" t="s">
        <v>5</v>
      </c>
      <c r="E6" s="74" t="s">
        <v>321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39" t="s">
        <v>2</v>
      </c>
      <c r="C1" s="39" t="s">
        <v>271</v>
      </c>
      <c r="D1" s="39" t="s">
        <v>333</v>
      </c>
      <c r="E1" s="39" t="s">
        <v>336</v>
      </c>
      <c r="F1" s="39" t="s">
        <v>337</v>
      </c>
      <c r="G1" s="39" t="s">
        <v>341</v>
      </c>
      <c r="H1" s="39" t="s">
        <v>272</v>
      </c>
    </row>
    <row r="2">
      <c r="A2" s="40" t="s">
        <v>346</v>
      </c>
      <c r="B2" s="42" t="s">
        <v>350</v>
      </c>
      <c r="C2" s="42" t="s">
        <v>351</v>
      </c>
      <c r="D2" s="42" t="s">
        <v>353</v>
      </c>
      <c r="E2" s="44">
        <v>6.0</v>
      </c>
      <c r="F2" s="44">
        <v>1.0</v>
      </c>
      <c r="G2" s="42" t="s">
        <v>362</v>
      </c>
      <c r="H2" s="41" t="s">
        <v>5</v>
      </c>
    </row>
    <row r="3">
      <c r="A3" s="43" t="s">
        <v>366</v>
      </c>
      <c r="B3" s="47" t="s">
        <v>368</v>
      </c>
      <c r="C3" s="47" t="s">
        <v>373</v>
      </c>
      <c r="D3" s="47" t="s">
        <v>374</v>
      </c>
      <c r="E3" s="48">
        <v>6.0</v>
      </c>
      <c r="F3" s="48">
        <v>1.0</v>
      </c>
      <c r="G3" s="47" t="s">
        <v>362</v>
      </c>
      <c r="H3" s="46" t="s">
        <v>5</v>
      </c>
    </row>
    <row r="4">
      <c r="A4" s="40" t="s">
        <v>382</v>
      </c>
      <c r="B4" s="42" t="s">
        <v>383</v>
      </c>
      <c r="C4" s="42" t="s">
        <v>385</v>
      </c>
      <c r="D4" s="42" t="s">
        <v>389</v>
      </c>
      <c r="E4" s="44">
        <v>6.0</v>
      </c>
      <c r="F4" s="44">
        <v>1.0</v>
      </c>
      <c r="G4" s="42" t="s">
        <v>362</v>
      </c>
      <c r="H4" s="41" t="s">
        <v>5</v>
      </c>
    </row>
    <row r="5">
      <c r="A5" s="43" t="s">
        <v>394</v>
      </c>
      <c r="B5" s="47" t="s">
        <v>399</v>
      </c>
      <c r="C5" s="47" t="s">
        <v>401</v>
      </c>
      <c r="D5" s="47" t="s">
        <v>402</v>
      </c>
      <c r="E5" s="48">
        <v>6.0</v>
      </c>
      <c r="F5" s="48">
        <v>1.0</v>
      </c>
      <c r="G5" s="47" t="s">
        <v>362</v>
      </c>
      <c r="H5" s="46" t="s">
        <v>5</v>
      </c>
    </row>
    <row r="6">
      <c r="A6" s="40" t="s">
        <v>408</v>
      </c>
      <c r="B6" s="42" t="s">
        <v>411</v>
      </c>
      <c r="C6" s="42" t="s">
        <v>415</v>
      </c>
      <c r="D6" s="42" t="s">
        <v>416</v>
      </c>
      <c r="E6" s="44">
        <v>6.0</v>
      </c>
      <c r="F6" s="44">
        <v>1.0</v>
      </c>
      <c r="G6" s="42" t="s">
        <v>362</v>
      </c>
      <c r="H6" s="41" t="s">
        <v>5</v>
      </c>
    </row>
    <row r="7">
      <c r="A7" s="43" t="s">
        <v>422</v>
      </c>
      <c r="B7" s="47" t="s">
        <v>424</v>
      </c>
      <c r="C7" s="47" t="s">
        <v>427</v>
      </c>
      <c r="D7" s="47" t="s">
        <v>430</v>
      </c>
      <c r="E7" s="48">
        <v>6.0</v>
      </c>
      <c r="F7" s="48">
        <v>1.0</v>
      </c>
      <c r="G7" s="47" t="s">
        <v>362</v>
      </c>
      <c r="H7" s="46" t="s">
        <v>5</v>
      </c>
    </row>
    <row r="8">
      <c r="A8" s="40" t="s">
        <v>443</v>
      </c>
      <c r="B8" s="42" t="s">
        <v>446</v>
      </c>
      <c r="C8" s="42" t="s">
        <v>447</v>
      </c>
      <c r="D8" s="42" t="s">
        <v>449</v>
      </c>
      <c r="E8" s="44">
        <v>6.0</v>
      </c>
      <c r="F8" s="44">
        <v>1.0</v>
      </c>
      <c r="G8" s="42" t="s">
        <v>362</v>
      </c>
      <c r="H8" s="41" t="s">
        <v>5</v>
      </c>
    </row>
    <row r="9">
      <c r="A9" s="43" t="s">
        <v>463</v>
      </c>
      <c r="B9" s="47" t="s">
        <v>467</v>
      </c>
      <c r="C9" s="47" t="s">
        <v>468</v>
      </c>
      <c r="D9" s="47" t="s">
        <v>471</v>
      </c>
      <c r="E9" s="48">
        <v>6.0</v>
      </c>
      <c r="F9" s="48">
        <v>1.0</v>
      </c>
      <c r="G9" s="47" t="s">
        <v>362</v>
      </c>
      <c r="H9" s="46" t="s">
        <v>5</v>
      </c>
    </row>
    <row r="10">
      <c r="A10" s="40" t="s">
        <v>482</v>
      </c>
      <c r="B10" s="42" t="s">
        <v>483</v>
      </c>
      <c r="C10" s="42" t="s">
        <v>485</v>
      </c>
      <c r="D10" s="42" t="s">
        <v>491</v>
      </c>
      <c r="E10" s="44">
        <v>6.0</v>
      </c>
      <c r="F10" s="44">
        <v>1.0</v>
      </c>
      <c r="G10" s="42" t="s">
        <v>362</v>
      </c>
      <c r="H10" s="41" t="s">
        <v>5</v>
      </c>
    </row>
    <row r="11">
      <c r="A11" s="43" t="s">
        <v>498</v>
      </c>
      <c r="B11" s="47" t="s">
        <v>500</v>
      </c>
      <c r="C11" s="47" t="s">
        <v>501</v>
      </c>
      <c r="D11" s="47" t="s">
        <v>504</v>
      </c>
      <c r="E11" s="48">
        <v>6.0</v>
      </c>
      <c r="F11" s="48">
        <v>1.0</v>
      </c>
      <c r="G11" s="47" t="s">
        <v>362</v>
      </c>
      <c r="H11" s="46" t="s">
        <v>5</v>
      </c>
    </row>
    <row r="12">
      <c r="A12" s="40" t="s">
        <v>513</v>
      </c>
      <c r="B12" s="42" t="s">
        <v>515</v>
      </c>
      <c r="C12" s="42" t="s">
        <v>516</v>
      </c>
      <c r="D12" s="42" t="s">
        <v>519</v>
      </c>
      <c r="E12" s="44">
        <v>6.0</v>
      </c>
      <c r="F12" s="44">
        <v>1.0</v>
      </c>
      <c r="G12" s="42" t="s">
        <v>362</v>
      </c>
      <c r="H12" s="41" t="s">
        <v>5</v>
      </c>
    </row>
    <row r="13">
      <c r="A13" s="50" t="s">
        <v>528</v>
      </c>
      <c r="B13" s="78" t="s">
        <v>530</v>
      </c>
      <c r="C13" s="78" t="s">
        <v>537</v>
      </c>
      <c r="D13" s="78" t="s">
        <v>538</v>
      </c>
      <c r="E13" s="79">
        <v>6.0</v>
      </c>
      <c r="F13" s="79">
        <v>1.0</v>
      </c>
      <c r="G13" s="78" t="s">
        <v>362</v>
      </c>
      <c r="H13" s="51" t="s">
        <v>5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0"/>
    <col customWidth="1" min="3" max="3" width="15.0"/>
    <col customWidth="1" min="4" max="4" width="18.0"/>
    <col customWidth="1" min="5" max="5" width="19.0"/>
    <col customWidth="1" min="6" max="7" width="41.0"/>
    <col customWidth="1" min="8" max="8" width="31.0"/>
    <col customWidth="1" min="9" max="9" width="20.0"/>
    <col customWidth="1" min="10" max="10" width="18.0"/>
    <col customWidth="1" min="11" max="11" width="12.0"/>
    <col customWidth="1" min="12" max="26" width="14.38"/>
  </cols>
  <sheetData>
    <row r="1" ht="37.5" customHeight="1">
      <c r="A1" s="75" t="s">
        <v>0</v>
      </c>
      <c r="B1" s="75" t="s">
        <v>2</v>
      </c>
      <c r="C1" s="75" t="s">
        <v>271</v>
      </c>
      <c r="D1" s="75" t="s">
        <v>423</v>
      </c>
      <c r="E1" s="75" t="s">
        <v>272</v>
      </c>
      <c r="F1" s="75" t="s">
        <v>425</v>
      </c>
      <c r="G1" s="75" t="s">
        <v>426</v>
      </c>
      <c r="H1" s="75" t="s">
        <v>434</v>
      </c>
      <c r="I1" s="75" t="s">
        <v>435</v>
      </c>
      <c r="J1" s="75" t="s">
        <v>436</v>
      </c>
      <c r="K1" s="75" t="s">
        <v>437</v>
      </c>
    </row>
    <row r="2" ht="21.75" customHeight="1">
      <c r="A2" s="76" t="s">
        <v>438</v>
      </c>
      <c r="B2" s="76" t="s">
        <v>350</v>
      </c>
      <c r="C2" s="76" t="s">
        <v>445</v>
      </c>
      <c r="D2" s="76" t="s">
        <v>277</v>
      </c>
      <c r="E2" s="76" t="s">
        <v>5</v>
      </c>
      <c r="F2" s="76" t="s">
        <v>448</v>
      </c>
      <c r="G2" s="76" t="s">
        <v>450</v>
      </c>
      <c r="H2" s="76" t="s">
        <v>346</v>
      </c>
      <c r="I2" s="76" t="s">
        <v>451</v>
      </c>
      <c r="J2" s="76" t="s">
        <v>455</v>
      </c>
      <c r="K2" s="76" t="s">
        <v>458</v>
      </c>
    </row>
    <row r="3" ht="21.75" customHeight="1">
      <c r="A3" s="77" t="s">
        <v>459</v>
      </c>
      <c r="B3" s="77" t="s">
        <v>368</v>
      </c>
      <c r="C3" s="77" t="s">
        <v>445</v>
      </c>
      <c r="D3" s="77" t="s">
        <v>284</v>
      </c>
      <c r="E3" s="77" t="s">
        <v>5</v>
      </c>
      <c r="F3" s="77" t="s">
        <v>450</v>
      </c>
      <c r="G3" s="77" t="s">
        <v>466</v>
      </c>
      <c r="H3" s="77" t="s">
        <v>366</v>
      </c>
      <c r="I3" s="77" t="s">
        <v>451</v>
      </c>
      <c r="J3" s="77" t="s">
        <v>455</v>
      </c>
      <c r="K3" s="77" t="s">
        <v>458</v>
      </c>
    </row>
    <row r="4" ht="21.75" customHeight="1">
      <c r="A4" s="76" t="s">
        <v>475</v>
      </c>
      <c r="B4" s="76" t="s">
        <v>383</v>
      </c>
      <c r="C4" s="76" t="s">
        <v>445</v>
      </c>
      <c r="D4" s="76" t="s">
        <v>277</v>
      </c>
      <c r="E4" s="76" t="s">
        <v>5</v>
      </c>
      <c r="F4" s="76" t="s">
        <v>448</v>
      </c>
      <c r="G4" s="76" t="s">
        <v>481</v>
      </c>
      <c r="H4" s="76" t="s">
        <v>382</v>
      </c>
      <c r="I4" s="76" t="s">
        <v>451</v>
      </c>
      <c r="J4" s="76" t="s">
        <v>455</v>
      </c>
      <c r="K4" s="76" t="s">
        <v>458</v>
      </c>
    </row>
    <row r="5" ht="21.75" customHeight="1">
      <c r="A5" s="77" t="s">
        <v>487</v>
      </c>
      <c r="B5" s="77" t="s">
        <v>399</v>
      </c>
      <c r="C5" s="77" t="s">
        <v>445</v>
      </c>
      <c r="D5" s="77" t="s">
        <v>288</v>
      </c>
      <c r="E5" s="77" t="s">
        <v>5</v>
      </c>
      <c r="F5" s="77" t="s">
        <v>481</v>
      </c>
      <c r="G5" s="77" t="s">
        <v>492</v>
      </c>
      <c r="H5" s="77" t="s">
        <v>394</v>
      </c>
      <c r="I5" s="77" t="s">
        <v>451</v>
      </c>
      <c r="J5" s="77" t="s">
        <v>455</v>
      </c>
      <c r="K5" s="77" t="s">
        <v>458</v>
      </c>
    </row>
    <row r="6" ht="21.75" customHeight="1">
      <c r="A6" s="76" t="s">
        <v>499</v>
      </c>
      <c r="B6" s="76" t="s">
        <v>411</v>
      </c>
      <c r="C6" s="76" t="s">
        <v>445</v>
      </c>
      <c r="D6" s="76" t="s">
        <v>277</v>
      </c>
      <c r="E6" s="76" t="s">
        <v>5</v>
      </c>
      <c r="F6" s="76" t="s">
        <v>448</v>
      </c>
      <c r="G6" s="76" t="s">
        <v>507</v>
      </c>
      <c r="H6" s="76" t="s">
        <v>408</v>
      </c>
      <c r="I6" s="76" t="s">
        <v>451</v>
      </c>
      <c r="J6" s="76" t="s">
        <v>455</v>
      </c>
      <c r="K6" s="76" t="s">
        <v>458</v>
      </c>
    </row>
    <row r="7" ht="21.75" customHeight="1">
      <c r="A7" s="77" t="s">
        <v>514</v>
      </c>
      <c r="B7" s="77" t="s">
        <v>424</v>
      </c>
      <c r="C7" s="77" t="s">
        <v>445</v>
      </c>
      <c r="D7" s="77" t="s">
        <v>295</v>
      </c>
      <c r="E7" s="77" t="s">
        <v>5</v>
      </c>
      <c r="F7" s="77" t="s">
        <v>507</v>
      </c>
      <c r="G7" s="77" t="s">
        <v>522</v>
      </c>
      <c r="H7" s="77" t="s">
        <v>422</v>
      </c>
      <c r="I7" s="77" t="s">
        <v>451</v>
      </c>
      <c r="J7" s="77" t="s">
        <v>455</v>
      </c>
      <c r="K7" s="77" t="s">
        <v>458</v>
      </c>
    </row>
    <row r="8" ht="21.75" customHeight="1">
      <c r="A8" s="76" t="s">
        <v>529</v>
      </c>
      <c r="B8" s="76" t="s">
        <v>446</v>
      </c>
      <c r="C8" s="76" t="s">
        <v>535</v>
      </c>
      <c r="D8" s="76" t="s">
        <v>277</v>
      </c>
      <c r="E8" s="76" t="s">
        <v>5</v>
      </c>
      <c r="F8" s="76" t="s">
        <v>448</v>
      </c>
      <c r="G8" s="76" t="s">
        <v>539</v>
      </c>
      <c r="H8" s="76" t="s">
        <v>443</v>
      </c>
      <c r="I8" s="76" t="s">
        <v>451</v>
      </c>
      <c r="J8" s="76" t="s">
        <v>455</v>
      </c>
      <c r="K8" s="76" t="s">
        <v>458</v>
      </c>
    </row>
    <row r="9" ht="21.75" customHeight="1">
      <c r="A9" s="77" t="s">
        <v>545</v>
      </c>
      <c r="B9" s="77" t="s">
        <v>467</v>
      </c>
      <c r="C9" s="77" t="s">
        <v>535</v>
      </c>
      <c r="D9" s="77" t="s">
        <v>284</v>
      </c>
      <c r="E9" s="77" t="s">
        <v>5</v>
      </c>
      <c r="F9" s="77" t="s">
        <v>466</v>
      </c>
      <c r="G9" s="77" t="s">
        <v>539</v>
      </c>
      <c r="H9" s="77" t="s">
        <v>463</v>
      </c>
      <c r="I9" s="77" t="s">
        <v>451</v>
      </c>
      <c r="J9" s="77" t="s">
        <v>455</v>
      </c>
      <c r="K9" s="77" t="s">
        <v>458</v>
      </c>
    </row>
    <row r="10" ht="21.75" customHeight="1">
      <c r="A10" s="76" t="s">
        <v>561</v>
      </c>
      <c r="B10" s="76" t="s">
        <v>483</v>
      </c>
      <c r="C10" s="76" t="s">
        <v>535</v>
      </c>
      <c r="D10" s="76" t="s">
        <v>288</v>
      </c>
      <c r="E10" s="76" t="s">
        <v>5</v>
      </c>
      <c r="F10" s="76" t="s">
        <v>492</v>
      </c>
      <c r="G10" s="76" t="s">
        <v>539</v>
      </c>
      <c r="H10" s="76" t="s">
        <v>482</v>
      </c>
      <c r="I10" s="76" t="s">
        <v>451</v>
      </c>
      <c r="J10" s="76" t="s">
        <v>455</v>
      </c>
      <c r="K10" s="76" t="s">
        <v>458</v>
      </c>
    </row>
    <row r="11" ht="21.75" customHeight="1">
      <c r="A11" s="77" t="s">
        <v>576</v>
      </c>
      <c r="B11" s="77" t="s">
        <v>500</v>
      </c>
      <c r="C11" s="77" t="s">
        <v>535</v>
      </c>
      <c r="D11" s="77" t="s">
        <v>295</v>
      </c>
      <c r="E11" s="77" t="s">
        <v>5</v>
      </c>
      <c r="F11" s="77" t="s">
        <v>522</v>
      </c>
      <c r="G11" s="77" t="s">
        <v>539</v>
      </c>
      <c r="H11" s="77" t="s">
        <v>498</v>
      </c>
      <c r="I11" s="77" t="s">
        <v>451</v>
      </c>
      <c r="J11" s="77" t="s">
        <v>455</v>
      </c>
      <c r="K11" s="77" t="s">
        <v>458</v>
      </c>
    </row>
    <row r="12" ht="21.75" customHeight="1">
      <c r="A12" s="76" t="s">
        <v>591</v>
      </c>
      <c r="B12" s="76" t="s">
        <v>515</v>
      </c>
      <c r="C12" s="76" t="s">
        <v>592</v>
      </c>
      <c r="D12" s="76" t="s">
        <v>277</v>
      </c>
      <c r="E12" s="76" t="s">
        <v>5</v>
      </c>
      <c r="F12" s="76" t="s">
        <v>598</v>
      </c>
      <c r="G12" s="76" t="s">
        <v>448</v>
      </c>
      <c r="H12" s="76" t="s">
        <v>513</v>
      </c>
      <c r="I12" s="76" t="s">
        <v>451</v>
      </c>
      <c r="J12" s="76" t="s">
        <v>455</v>
      </c>
      <c r="K12" s="76" t="s">
        <v>458</v>
      </c>
    </row>
    <row r="13" ht="21.75" customHeight="1">
      <c r="A13" s="77" t="s">
        <v>607</v>
      </c>
      <c r="B13" s="77" t="s">
        <v>530</v>
      </c>
      <c r="C13" s="77" t="s">
        <v>610</v>
      </c>
      <c r="D13" s="77" t="s">
        <v>277</v>
      </c>
      <c r="E13" s="77" t="s">
        <v>5</v>
      </c>
      <c r="F13" s="77" t="s">
        <v>448</v>
      </c>
      <c r="G13" s="77" t="s">
        <v>448</v>
      </c>
      <c r="H13" s="77" t="s">
        <v>528</v>
      </c>
      <c r="I13" s="77" t="s">
        <v>451</v>
      </c>
      <c r="J13" s="77" t="s">
        <v>455</v>
      </c>
      <c r="K13" s="77" t="s">
        <v>458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36.0"/>
    <col customWidth="1" min="3" max="3" width="12.0"/>
    <col customWidth="1" min="4" max="4" width="20.0"/>
    <col customWidth="1" min="5" max="5" width="19.0"/>
    <col customWidth="1" min="6" max="6" width="8.75"/>
    <col customWidth="1" min="7" max="26" width="14.38"/>
  </cols>
  <sheetData>
    <row r="1" ht="37.5" customHeight="1">
      <c r="A1" s="75" t="s">
        <v>0</v>
      </c>
      <c r="B1" s="75" t="s">
        <v>2</v>
      </c>
      <c r="C1" s="75" t="s">
        <v>92</v>
      </c>
      <c r="D1" s="75" t="s">
        <v>553</v>
      </c>
      <c r="E1" s="75" t="s">
        <v>272</v>
      </c>
    </row>
    <row r="2" ht="21.75" customHeight="1">
      <c r="A2" s="76" t="s">
        <v>557</v>
      </c>
      <c r="B2" s="76" t="s">
        <v>560</v>
      </c>
      <c r="C2" s="76">
        <v>5.0</v>
      </c>
      <c r="D2" s="76" t="b">
        <v>1</v>
      </c>
      <c r="E2" s="76" t="s">
        <v>5</v>
      </c>
    </row>
    <row r="3" ht="21.75" customHeight="1">
      <c r="A3" s="77" t="s">
        <v>568</v>
      </c>
      <c r="B3" s="77" t="s">
        <v>572</v>
      </c>
      <c r="C3" s="77">
        <v>5.0</v>
      </c>
      <c r="D3" s="77" t="b">
        <v>1</v>
      </c>
      <c r="E3" s="77" t="s">
        <v>5</v>
      </c>
    </row>
    <row r="4" ht="21.75" customHeight="1">
      <c r="A4" s="76" t="s">
        <v>579</v>
      </c>
      <c r="B4" s="76" t="s">
        <v>580</v>
      </c>
      <c r="C4" s="76">
        <v>5.0</v>
      </c>
      <c r="D4" s="76" t="b">
        <v>1</v>
      </c>
      <c r="E4" s="76" t="s">
        <v>5</v>
      </c>
    </row>
    <row r="5" ht="21.75" customHeight="1">
      <c r="A5" s="77" t="s">
        <v>584</v>
      </c>
      <c r="B5" s="77" t="s">
        <v>587</v>
      </c>
      <c r="C5" s="77">
        <v>5.0</v>
      </c>
      <c r="D5" s="77" t="b">
        <v>1</v>
      </c>
      <c r="E5" s="77" t="s">
        <v>5</v>
      </c>
    </row>
    <row r="6" ht="21.75" customHeight="1">
      <c r="A6" s="76" t="s">
        <v>596</v>
      </c>
      <c r="B6" s="76" t="s">
        <v>599</v>
      </c>
      <c r="C6" s="76">
        <v>5.0</v>
      </c>
      <c r="D6" s="76" t="b">
        <v>1</v>
      </c>
      <c r="E6" s="76" t="s">
        <v>5</v>
      </c>
    </row>
    <row r="7" ht="21.75" customHeight="1">
      <c r="A7" s="77" t="s">
        <v>603</v>
      </c>
      <c r="B7" s="77" t="s">
        <v>605</v>
      </c>
      <c r="C7" s="77">
        <v>1.0</v>
      </c>
      <c r="D7" s="77" t="b">
        <v>1</v>
      </c>
      <c r="E7" s="77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30.0"/>
    <col customWidth="1" min="3" max="3" width="13.0"/>
    <col customWidth="1" min="4" max="4" width="22.0"/>
    <col customWidth="1" min="5" max="6" width="41.0"/>
    <col customWidth="1" min="7" max="7" width="20.0"/>
    <col customWidth="1" min="8" max="8" width="16.0"/>
    <col customWidth="1" min="9" max="9" width="25.0"/>
    <col customWidth="1" min="10" max="11" width="18.0"/>
    <col customWidth="1" min="12" max="12" width="19.0"/>
    <col customWidth="1" min="13" max="14" width="12.0"/>
    <col customWidth="1" min="15" max="26" width="14.38"/>
  </cols>
  <sheetData>
    <row r="1" ht="37.5" customHeight="1">
      <c r="A1" s="75" t="s">
        <v>0</v>
      </c>
      <c r="B1" s="75" t="s">
        <v>2</v>
      </c>
      <c r="C1" s="75" t="s">
        <v>693</v>
      </c>
      <c r="D1" s="75" t="s">
        <v>694</v>
      </c>
      <c r="E1" s="75" t="s">
        <v>697</v>
      </c>
      <c r="F1" s="75" t="s">
        <v>700</v>
      </c>
      <c r="G1" s="75" t="s">
        <v>701</v>
      </c>
      <c r="H1" s="75" t="s">
        <v>704</v>
      </c>
      <c r="I1" s="75" t="s">
        <v>705</v>
      </c>
      <c r="J1" s="75" t="s">
        <v>706</v>
      </c>
      <c r="K1" s="75" t="s">
        <v>423</v>
      </c>
      <c r="L1" s="75" t="s">
        <v>272</v>
      </c>
      <c r="M1" s="75" t="s">
        <v>709</v>
      </c>
      <c r="N1" s="75" t="s">
        <v>710</v>
      </c>
    </row>
    <row r="2" ht="21.75" customHeight="1">
      <c r="A2" s="76" t="s">
        <v>717</v>
      </c>
      <c r="B2" s="76" t="s">
        <v>350</v>
      </c>
      <c r="C2" s="76" t="s">
        <v>726</v>
      </c>
      <c r="D2" s="76" t="s">
        <v>557</v>
      </c>
      <c r="E2" s="76" t="s">
        <v>448</v>
      </c>
      <c r="F2" s="76" t="s">
        <v>450</v>
      </c>
      <c r="G2" s="76" t="s">
        <v>438</v>
      </c>
      <c r="H2" s="76" t="s">
        <v>737</v>
      </c>
      <c r="I2" s="76" t="b">
        <v>1</v>
      </c>
      <c r="J2" s="76" t="b">
        <v>1</v>
      </c>
      <c r="K2" s="76" t="s">
        <v>277</v>
      </c>
      <c r="L2" s="76" t="s">
        <v>5</v>
      </c>
      <c r="M2" s="76">
        <v>0.0</v>
      </c>
      <c r="N2" s="76" t="s">
        <v>742</v>
      </c>
    </row>
    <row r="3" ht="21.75" customHeight="1">
      <c r="A3" s="77" t="s">
        <v>743</v>
      </c>
      <c r="B3" s="77" t="s">
        <v>368</v>
      </c>
      <c r="C3" s="77" t="s">
        <v>726</v>
      </c>
      <c r="D3" s="77" t="s">
        <v>557</v>
      </c>
      <c r="E3" s="77" t="s">
        <v>450</v>
      </c>
      <c r="F3" s="77" t="s">
        <v>466</v>
      </c>
      <c r="G3" s="77" t="s">
        <v>459</v>
      </c>
      <c r="H3" s="77" t="s">
        <v>737</v>
      </c>
      <c r="I3" s="77" t="b">
        <v>1</v>
      </c>
      <c r="J3" s="77" t="b">
        <v>1</v>
      </c>
      <c r="K3" s="77" t="s">
        <v>284</v>
      </c>
      <c r="L3" s="77" t="s">
        <v>5</v>
      </c>
      <c r="M3" s="77">
        <v>3.0</v>
      </c>
      <c r="N3" s="77" t="s">
        <v>742</v>
      </c>
    </row>
    <row r="4" ht="21.75" customHeight="1">
      <c r="A4" s="76" t="s">
        <v>757</v>
      </c>
      <c r="B4" s="76" t="s">
        <v>383</v>
      </c>
      <c r="C4" s="76" t="s">
        <v>726</v>
      </c>
      <c r="D4" s="76" t="s">
        <v>568</v>
      </c>
      <c r="E4" s="76" t="s">
        <v>448</v>
      </c>
      <c r="F4" s="76" t="s">
        <v>481</v>
      </c>
      <c r="G4" s="76" t="s">
        <v>475</v>
      </c>
      <c r="H4" s="76" t="s">
        <v>737</v>
      </c>
      <c r="I4" s="76" t="b">
        <v>1</v>
      </c>
      <c r="J4" s="76" t="b">
        <v>1</v>
      </c>
      <c r="K4" s="76" t="s">
        <v>277</v>
      </c>
      <c r="L4" s="76" t="s">
        <v>5</v>
      </c>
      <c r="M4" s="76">
        <v>0.0</v>
      </c>
      <c r="N4" s="76" t="s">
        <v>742</v>
      </c>
    </row>
    <row r="5" ht="21.75" customHeight="1">
      <c r="A5" s="77" t="s">
        <v>768</v>
      </c>
      <c r="B5" s="77" t="s">
        <v>399</v>
      </c>
      <c r="C5" s="77" t="s">
        <v>726</v>
      </c>
      <c r="D5" s="77" t="s">
        <v>568</v>
      </c>
      <c r="E5" s="77" t="s">
        <v>481</v>
      </c>
      <c r="F5" s="77" t="s">
        <v>492</v>
      </c>
      <c r="G5" s="77" t="s">
        <v>487</v>
      </c>
      <c r="H5" s="77" t="s">
        <v>737</v>
      </c>
      <c r="I5" s="77" t="b">
        <v>1</v>
      </c>
      <c r="J5" s="77" t="b">
        <v>1</v>
      </c>
      <c r="K5" s="77" t="s">
        <v>288</v>
      </c>
      <c r="L5" s="77" t="s">
        <v>5</v>
      </c>
      <c r="M5" s="77">
        <v>12.0</v>
      </c>
      <c r="N5" s="77" t="s">
        <v>742</v>
      </c>
    </row>
    <row r="6" ht="21.75" customHeight="1">
      <c r="A6" s="76" t="s">
        <v>781</v>
      </c>
      <c r="B6" s="76" t="s">
        <v>411</v>
      </c>
      <c r="C6" s="76" t="s">
        <v>726</v>
      </c>
      <c r="D6" s="76" t="s">
        <v>579</v>
      </c>
      <c r="E6" s="76" t="s">
        <v>448</v>
      </c>
      <c r="F6" s="76" t="s">
        <v>507</v>
      </c>
      <c r="G6" s="76" t="s">
        <v>499</v>
      </c>
      <c r="H6" s="76" t="s">
        <v>737</v>
      </c>
      <c r="I6" s="76" t="b">
        <v>1</v>
      </c>
      <c r="J6" s="76" t="b">
        <v>1</v>
      </c>
      <c r="K6" s="76" t="s">
        <v>277</v>
      </c>
      <c r="L6" s="76" t="s">
        <v>5</v>
      </c>
      <c r="M6" s="76">
        <v>0.0</v>
      </c>
      <c r="N6" s="76" t="s">
        <v>742</v>
      </c>
    </row>
    <row r="7" ht="21.75" customHeight="1">
      <c r="A7" s="77" t="s">
        <v>801</v>
      </c>
      <c r="B7" s="77" t="s">
        <v>424</v>
      </c>
      <c r="C7" s="77" t="s">
        <v>726</v>
      </c>
      <c r="D7" s="77" t="s">
        <v>579</v>
      </c>
      <c r="E7" s="77" t="s">
        <v>507</v>
      </c>
      <c r="F7" s="77" t="s">
        <v>522</v>
      </c>
      <c r="G7" s="77" t="s">
        <v>514</v>
      </c>
      <c r="H7" s="77" t="s">
        <v>737</v>
      </c>
      <c r="I7" s="77" t="b">
        <v>1</v>
      </c>
      <c r="J7" s="77" t="b">
        <v>1</v>
      </c>
      <c r="K7" s="77" t="s">
        <v>295</v>
      </c>
      <c r="L7" s="77" t="s">
        <v>5</v>
      </c>
      <c r="M7" s="77">
        <v>16.0</v>
      </c>
      <c r="N7" s="77" t="s">
        <v>742</v>
      </c>
    </row>
    <row r="8" ht="21.75" customHeight="1">
      <c r="A8" s="76" t="s">
        <v>820</v>
      </c>
      <c r="B8" s="76" t="s">
        <v>587</v>
      </c>
      <c r="C8" s="76" t="s">
        <v>823</v>
      </c>
      <c r="D8" s="76" t="s">
        <v>584</v>
      </c>
      <c r="E8" s="76" t="s">
        <v>598</v>
      </c>
      <c r="F8" s="76" t="s">
        <v>448</v>
      </c>
      <c r="G8" s="76" t="s">
        <v>591</v>
      </c>
      <c r="H8" s="76" t="s">
        <v>737</v>
      </c>
      <c r="I8" s="76" t="b">
        <v>1</v>
      </c>
      <c r="J8" s="76" t="b">
        <v>1</v>
      </c>
      <c r="K8" s="76" t="s">
        <v>277</v>
      </c>
      <c r="L8" s="76" t="s">
        <v>5</v>
      </c>
      <c r="M8" s="76">
        <v>0.0</v>
      </c>
      <c r="N8" s="76" t="s">
        <v>742</v>
      </c>
    </row>
    <row r="9" ht="21.75" customHeight="1">
      <c r="A9" s="77" t="s">
        <v>839</v>
      </c>
      <c r="B9" s="77" t="s">
        <v>599</v>
      </c>
      <c r="C9" s="77" t="s">
        <v>844</v>
      </c>
      <c r="D9" s="77" t="s">
        <v>596</v>
      </c>
      <c r="E9" s="77" t="s">
        <v>448</v>
      </c>
      <c r="F9" s="77" t="s">
        <v>448</v>
      </c>
      <c r="G9" s="77" t="s">
        <v>607</v>
      </c>
      <c r="H9" s="77" t="s">
        <v>737</v>
      </c>
      <c r="I9" s="77" t="b">
        <v>1</v>
      </c>
      <c r="J9" s="77" t="b">
        <v>1</v>
      </c>
      <c r="K9" s="77" t="s">
        <v>277</v>
      </c>
      <c r="L9" s="77" t="s">
        <v>5</v>
      </c>
      <c r="M9" s="77">
        <v>0.0</v>
      </c>
      <c r="N9" s="77" t="s">
        <v>742</v>
      </c>
    </row>
    <row r="10" ht="21.75" customHeight="1">
      <c r="A10" s="76" t="s">
        <v>857</v>
      </c>
      <c r="B10" s="76" t="s">
        <v>861</v>
      </c>
      <c r="C10" s="76" t="s">
        <v>726</v>
      </c>
      <c r="D10" s="76" t="s">
        <v>603</v>
      </c>
      <c r="E10" s="76" t="s">
        <v>448</v>
      </c>
      <c r="F10" s="76" t="s">
        <v>539</v>
      </c>
      <c r="G10" s="76" t="s">
        <v>529</v>
      </c>
      <c r="H10" s="76" t="s">
        <v>737</v>
      </c>
      <c r="I10" s="76" t="b">
        <v>1</v>
      </c>
      <c r="J10" s="76" t="b">
        <v>1</v>
      </c>
      <c r="K10" s="76" t="s">
        <v>277</v>
      </c>
      <c r="L10" s="76" t="s">
        <v>5</v>
      </c>
      <c r="M10" s="76">
        <v>0.0</v>
      </c>
      <c r="N10" s="76" t="s">
        <v>742</v>
      </c>
    </row>
    <row r="11" ht="21.75" customHeight="1">
      <c r="A11" s="77" t="s">
        <v>880</v>
      </c>
      <c r="B11" s="77" t="s">
        <v>881</v>
      </c>
      <c r="C11" s="77" t="s">
        <v>726</v>
      </c>
      <c r="D11" s="77" t="s">
        <v>603</v>
      </c>
      <c r="E11" s="77" t="s">
        <v>466</v>
      </c>
      <c r="F11" s="77" t="s">
        <v>539</v>
      </c>
      <c r="G11" s="77" t="s">
        <v>545</v>
      </c>
      <c r="H11" s="77" t="s">
        <v>737</v>
      </c>
      <c r="I11" s="77" t="b">
        <v>1</v>
      </c>
      <c r="J11" s="77" t="b">
        <v>1</v>
      </c>
      <c r="K11" s="77" t="s">
        <v>284</v>
      </c>
      <c r="L11" s="77" t="s">
        <v>5</v>
      </c>
      <c r="M11" s="77">
        <v>0.0</v>
      </c>
      <c r="N11" s="77" t="s">
        <v>742</v>
      </c>
    </row>
    <row r="12" ht="21.75" customHeight="1">
      <c r="A12" s="76" t="s">
        <v>902</v>
      </c>
      <c r="B12" s="76" t="s">
        <v>906</v>
      </c>
      <c r="C12" s="76" t="s">
        <v>726</v>
      </c>
      <c r="D12" s="76" t="s">
        <v>603</v>
      </c>
      <c r="E12" s="76" t="s">
        <v>492</v>
      </c>
      <c r="F12" s="76" t="s">
        <v>539</v>
      </c>
      <c r="G12" s="76" t="s">
        <v>561</v>
      </c>
      <c r="H12" s="76" t="s">
        <v>737</v>
      </c>
      <c r="I12" s="76" t="b">
        <v>1</v>
      </c>
      <c r="J12" s="76" t="b">
        <v>1</v>
      </c>
      <c r="K12" s="76" t="s">
        <v>288</v>
      </c>
      <c r="L12" s="76" t="s">
        <v>5</v>
      </c>
      <c r="M12" s="76">
        <v>0.0</v>
      </c>
      <c r="N12" s="76" t="s">
        <v>742</v>
      </c>
    </row>
    <row r="13" ht="21.75" customHeight="1">
      <c r="A13" s="77" t="s">
        <v>914</v>
      </c>
      <c r="B13" s="77" t="s">
        <v>915</v>
      </c>
      <c r="C13" s="77" t="s">
        <v>726</v>
      </c>
      <c r="D13" s="77" t="s">
        <v>603</v>
      </c>
      <c r="E13" s="77" t="s">
        <v>522</v>
      </c>
      <c r="F13" s="77" t="s">
        <v>539</v>
      </c>
      <c r="G13" s="77" t="s">
        <v>576</v>
      </c>
      <c r="H13" s="77" t="s">
        <v>737</v>
      </c>
      <c r="I13" s="77" t="b">
        <v>1</v>
      </c>
      <c r="J13" s="77" t="b">
        <v>1</v>
      </c>
      <c r="K13" s="77" t="s">
        <v>295</v>
      </c>
      <c r="L13" s="77" t="s">
        <v>5</v>
      </c>
      <c r="M13" s="77">
        <v>0.0</v>
      </c>
      <c r="N13" s="77" t="s">
        <v>742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5.88"/>
    <col customWidth="1" min="3" max="3" width="17.38"/>
  </cols>
  <sheetData>
    <row r="1">
      <c r="A1" s="80" t="s">
        <v>0</v>
      </c>
      <c r="B1" s="81" t="s">
        <v>2</v>
      </c>
      <c r="C1" s="81"/>
    </row>
    <row r="2">
      <c r="A2" s="7" t="s">
        <v>711</v>
      </c>
      <c r="B2" s="7" t="s">
        <v>714</v>
      </c>
      <c r="C2" s="80"/>
    </row>
    <row r="3">
      <c r="A3" s="7" t="s">
        <v>715</v>
      </c>
      <c r="B3" s="7" t="s">
        <v>718</v>
      </c>
    </row>
    <row r="4">
      <c r="A4" s="7" t="s">
        <v>720</v>
      </c>
      <c r="B4" s="7" t="s">
        <v>721</v>
      </c>
    </row>
    <row r="5">
      <c r="A5" s="7" t="s">
        <v>722</v>
      </c>
      <c r="B5" s="7" t="s">
        <v>723</v>
      </c>
    </row>
    <row r="6">
      <c r="A6" s="7" t="s">
        <v>724</v>
      </c>
      <c r="B6" s="7" t="s">
        <v>725</v>
      </c>
    </row>
    <row r="7">
      <c r="A7" s="7" t="s">
        <v>729</v>
      </c>
      <c r="B7" s="7" t="s">
        <v>730</v>
      </c>
    </row>
    <row r="8">
      <c r="A8" s="7" t="s">
        <v>731</v>
      </c>
      <c r="B8" s="7" t="s">
        <v>732</v>
      </c>
    </row>
    <row r="9">
      <c r="A9" s="3" t="s">
        <v>733</v>
      </c>
      <c r="B9" s="3" t="s">
        <v>734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  <col customWidth="1" min="5" max="5" width="18.75"/>
    <col customWidth="1" min="6" max="6" width="18.63"/>
    <col customWidth="1" min="7" max="7" width="18.0"/>
    <col customWidth="1" min="8" max="9" width="28.13"/>
    <col customWidth="1" min="11" max="11" width="23.75"/>
  </cols>
  <sheetData>
    <row r="1">
      <c r="A1" s="2" t="s">
        <v>1</v>
      </c>
      <c r="B1" s="66" t="s">
        <v>0</v>
      </c>
      <c r="C1" s="66" t="s">
        <v>769</v>
      </c>
      <c r="D1" s="66" t="s">
        <v>770</v>
      </c>
      <c r="E1" s="66" t="s">
        <v>771</v>
      </c>
      <c r="F1" s="66" t="s">
        <v>2</v>
      </c>
      <c r="G1" s="66" t="s">
        <v>772</v>
      </c>
      <c r="H1" s="66" t="s">
        <v>773</v>
      </c>
      <c r="I1" s="66" t="s">
        <v>776</v>
      </c>
      <c r="J1" s="66" t="s">
        <v>779</v>
      </c>
      <c r="K1" s="66" t="s">
        <v>780</v>
      </c>
      <c r="L1" s="66" t="s">
        <v>785</v>
      </c>
      <c r="M1" s="39" t="s">
        <v>272</v>
      </c>
      <c r="N1" s="39" t="s">
        <v>786</v>
      </c>
      <c r="O1" s="39" t="s">
        <v>789</v>
      </c>
      <c r="P1" s="39" t="s">
        <v>792</v>
      </c>
      <c r="Q1" s="82"/>
      <c r="R1" s="82"/>
      <c r="S1" s="82"/>
      <c r="T1" s="82"/>
      <c r="U1" s="82"/>
      <c r="V1" s="82"/>
      <c r="W1" s="82"/>
      <c r="X1" s="82"/>
    </row>
    <row r="2">
      <c r="A2" s="14">
        <v>1.0</v>
      </c>
      <c r="B2" s="67" t="s">
        <v>796</v>
      </c>
      <c r="C2" s="68" t="s">
        <v>800</v>
      </c>
      <c r="D2" s="83" t="b">
        <v>1</v>
      </c>
      <c r="E2" s="68" t="s">
        <v>806</v>
      </c>
      <c r="F2" s="68" t="s">
        <v>809</v>
      </c>
      <c r="G2" s="83" t="b">
        <v>0</v>
      </c>
      <c r="H2" s="83" t="b">
        <v>1</v>
      </c>
      <c r="I2" s="68" t="s">
        <v>814</v>
      </c>
      <c r="J2" s="84">
        <v>50.0</v>
      </c>
      <c r="K2" s="68" t="s">
        <v>715</v>
      </c>
      <c r="L2" s="84">
        <v>135.0</v>
      </c>
      <c r="M2" s="42" t="s">
        <v>5</v>
      </c>
      <c r="N2" s="42" t="s">
        <v>821</v>
      </c>
      <c r="O2" s="85" t="s">
        <v>825</v>
      </c>
      <c r="P2" s="41" t="s">
        <v>827</v>
      </c>
      <c r="Q2" s="82"/>
      <c r="R2" s="82"/>
      <c r="S2" s="82"/>
      <c r="T2" s="82"/>
      <c r="U2" s="82"/>
      <c r="V2" s="82"/>
      <c r="W2" s="82"/>
      <c r="X2" s="82"/>
    </row>
    <row r="3">
      <c r="A3" s="14">
        <v>2.0</v>
      </c>
      <c r="B3" s="70" t="s">
        <v>833</v>
      </c>
      <c r="C3" s="71" t="s">
        <v>800</v>
      </c>
      <c r="D3" s="86" t="b">
        <v>1</v>
      </c>
      <c r="E3" s="71" t="s">
        <v>838</v>
      </c>
      <c r="F3" s="71" t="s">
        <v>842</v>
      </c>
      <c r="G3" s="86" t="b">
        <v>0</v>
      </c>
      <c r="H3" s="86" t="b">
        <v>1</v>
      </c>
      <c r="I3" s="71" t="s">
        <v>814</v>
      </c>
      <c r="J3" s="87">
        <v>150.0</v>
      </c>
      <c r="K3" s="71" t="s">
        <v>715</v>
      </c>
      <c r="L3" s="87">
        <v>360.0</v>
      </c>
      <c r="M3" s="47" t="s">
        <v>5</v>
      </c>
      <c r="N3" s="47" t="s">
        <v>821</v>
      </c>
      <c r="O3" s="89" t="s">
        <v>825</v>
      </c>
      <c r="P3" s="46" t="s">
        <v>827</v>
      </c>
      <c r="Q3" s="82"/>
      <c r="R3" s="82"/>
      <c r="S3" s="82"/>
      <c r="T3" s="82"/>
      <c r="U3" s="82"/>
      <c r="V3" s="82"/>
      <c r="W3" s="82"/>
      <c r="X3" s="82"/>
    </row>
    <row r="4">
      <c r="A4" s="14">
        <v>3.0</v>
      </c>
      <c r="B4" s="67" t="s">
        <v>856</v>
      </c>
      <c r="C4" s="68" t="s">
        <v>800</v>
      </c>
      <c r="D4" s="83" t="b">
        <v>1</v>
      </c>
      <c r="E4" s="68" t="s">
        <v>879</v>
      </c>
      <c r="F4" s="68" t="s">
        <v>854</v>
      </c>
      <c r="G4" s="83" t="b">
        <v>1</v>
      </c>
      <c r="H4" s="83" t="b">
        <v>1</v>
      </c>
      <c r="I4" s="68" t="s">
        <v>814</v>
      </c>
      <c r="J4" s="84">
        <v>200.0</v>
      </c>
      <c r="K4" s="68" t="s">
        <v>720</v>
      </c>
      <c r="L4" s="84">
        <v>280.0</v>
      </c>
      <c r="M4" s="42" t="s">
        <v>5</v>
      </c>
      <c r="N4" s="42" t="s">
        <v>821</v>
      </c>
      <c r="O4" s="85" t="s">
        <v>897</v>
      </c>
      <c r="P4" s="41" t="s">
        <v>827</v>
      </c>
      <c r="Q4" s="82"/>
      <c r="R4" s="82"/>
      <c r="S4" s="82"/>
      <c r="T4" s="82"/>
      <c r="U4" s="82"/>
      <c r="V4" s="82"/>
      <c r="W4" s="82"/>
      <c r="X4" s="82"/>
    </row>
    <row r="5">
      <c r="A5" s="14">
        <v>4.0</v>
      </c>
      <c r="B5" s="70" t="s">
        <v>905</v>
      </c>
      <c r="C5" s="71" t="s">
        <v>800</v>
      </c>
      <c r="D5" s="86" t="b">
        <v>1</v>
      </c>
      <c r="E5" s="71" t="s">
        <v>909</v>
      </c>
      <c r="F5" s="71" t="s">
        <v>912</v>
      </c>
      <c r="G5" s="86" t="b">
        <v>1</v>
      </c>
      <c r="H5" s="86" t="b">
        <v>1</v>
      </c>
      <c r="I5" s="71" t="s">
        <v>814</v>
      </c>
      <c r="J5" s="87">
        <v>500.0</v>
      </c>
      <c r="K5" s="71" t="s">
        <v>720</v>
      </c>
      <c r="L5" s="87">
        <v>675.0</v>
      </c>
      <c r="M5" s="47" t="s">
        <v>5</v>
      </c>
      <c r="N5" s="47" t="s">
        <v>821</v>
      </c>
      <c r="O5" s="89" t="s">
        <v>897</v>
      </c>
      <c r="P5" s="46" t="s">
        <v>827</v>
      </c>
      <c r="Q5" s="82"/>
      <c r="R5" s="82"/>
      <c r="S5" s="82"/>
      <c r="T5" s="82"/>
      <c r="U5" s="82"/>
      <c r="V5" s="82"/>
      <c r="W5" s="82"/>
      <c r="X5" s="82"/>
    </row>
    <row r="6">
      <c r="A6" s="14">
        <v>5.0</v>
      </c>
      <c r="B6" s="67" t="s">
        <v>917</v>
      </c>
      <c r="C6" s="68" t="s">
        <v>800</v>
      </c>
      <c r="D6" s="83" t="b">
        <v>1</v>
      </c>
      <c r="E6" s="68" t="s">
        <v>918</v>
      </c>
      <c r="F6" s="68" t="s">
        <v>919</v>
      </c>
      <c r="G6" s="83" t="b">
        <v>0</v>
      </c>
      <c r="H6" s="83" t="b">
        <v>1</v>
      </c>
      <c r="I6" s="68" t="s">
        <v>814</v>
      </c>
      <c r="J6" s="84">
        <v>100.0</v>
      </c>
      <c r="K6" s="68" t="s">
        <v>724</v>
      </c>
      <c r="L6" s="84">
        <v>210.0</v>
      </c>
      <c r="M6" s="42" t="s">
        <v>5</v>
      </c>
      <c r="N6" s="42" t="s">
        <v>821</v>
      </c>
      <c r="O6" s="85" t="s">
        <v>825</v>
      </c>
      <c r="P6" s="41" t="s">
        <v>827</v>
      </c>
      <c r="Q6" s="82"/>
      <c r="R6" s="82"/>
      <c r="S6" s="82"/>
      <c r="T6" s="82"/>
      <c r="U6" s="82"/>
      <c r="V6" s="82"/>
      <c r="W6" s="82"/>
      <c r="X6" s="82"/>
    </row>
    <row r="7">
      <c r="A7" s="14">
        <v>6.0</v>
      </c>
      <c r="B7" s="70" t="s">
        <v>921</v>
      </c>
      <c r="C7" s="71" t="s">
        <v>800</v>
      </c>
      <c r="D7" s="86" t="b">
        <v>1</v>
      </c>
      <c r="E7" s="71" t="s">
        <v>922</v>
      </c>
      <c r="F7" s="71" t="s">
        <v>923</v>
      </c>
      <c r="G7" s="86" t="b">
        <v>0</v>
      </c>
      <c r="H7" s="86" t="b">
        <v>1</v>
      </c>
      <c r="I7" s="71" t="s">
        <v>814</v>
      </c>
      <c r="J7" s="87">
        <v>80.0</v>
      </c>
      <c r="K7" s="71" t="s">
        <v>724</v>
      </c>
      <c r="L7" s="87">
        <v>165.0</v>
      </c>
      <c r="M7" s="47" t="s">
        <v>5</v>
      </c>
      <c r="N7" s="47" t="s">
        <v>821</v>
      </c>
      <c r="O7" s="89" t="s">
        <v>825</v>
      </c>
      <c r="P7" s="46" t="s">
        <v>827</v>
      </c>
      <c r="Q7" s="82"/>
      <c r="R7" s="82"/>
      <c r="S7" s="82"/>
      <c r="T7" s="82"/>
      <c r="U7" s="82"/>
      <c r="V7" s="82"/>
      <c r="W7" s="82"/>
      <c r="X7" s="82"/>
    </row>
    <row r="8">
      <c r="A8" s="14">
        <v>7.0</v>
      </c>
      <c r="B8" s="67" t="s">
        <v>926</v>
      </c>
      <c r="C8" s="68" t="s">
        <v>800</v>
      </c>
      <c r="D8" s="83" t="b">
        <v>1</v>
      </c>
      <c r="E8" s="68" t="s">
        <v>928</v>
      </c>
      <c r="F8" s="68" t="s">
        <v>925</v>
      </c>
      <c r="G8" s="83" t="b">
        <v>1</v>
      </c>
      <c r="H8" s="83" t="b">
        <v>0</v>
      </c>
      <c r="I8" s="68" t="s">
        <v>814</v>
      </c>
      <c r="J8" s="84">
        <v>15.0</v>
      </c>
      <c r="K8" s="68" t="s">
        <v>729</v>
      </c>
      <c r="L8" s="84">
        <v>15.0</v>
      </c>
      <c r="M8" s="42" t="s">
        <v>5</v>
      </c>
      <c r="N8" s="42" t="s">
        <v>821</v>
      </c>
      <c r="O8" s="85" t="s">
        <v>584</v>
      </c>
      <c r="P8" s="41" t="s">
        <v>827</v>
      </c>
      <c r="Q8" s="82"/>
      <c r="R8" s="82"/>
      <c r="S8" s="82"/>
      <c r="T8" s="82"/>
      <c r="U8" s="82"/>
      <c r="V8" s="82"/>
      <c r="W8" s="82"/>
      <c r="X8" s="82"/>
    </row>
    <row r="9">
      <c r="A9" s="14">
        <v>8.0</v>
      </c>
      <c r="B9" s="70" t="s">
        <v>930</v>
      </c>
      <c r="C9" s="71" t="s">
        <v>800</v>
      </c>
      <c r="D9" s="86" t="b">
        <v>1</v>
      </c>
      <c r="E9" s="71" t="s">
        <v>931</v>
      </c>
      <c r="F9" s="71" t="s">
        <v>932</v>
      </c>
      <c r="G9" s="86" t="b">
        <v>1</v>
      </c>
      <c r="H9" s="86" t="b">
        <v>0</v>
      </c>
      <c r="I9" s="71" t="s">
        <v>814</v>
      </c>
      <c r="J9" s="87">
        <v>5.0</v>
      </c>
      <c r="K9" s="71" t="s">
        <v>729</v>
      </c>
      <c r="L9" s="87">
        <v>5.0</v>
      </c>
      <c r="M9" s="47" t="s">
        <v>5</v>
      </c>
      <c r="N9" s="47" t="s">
        <v>821</v>
      </c>
      <c r="O9" s="89" t="s">
        <v>584</v>
      </c>
      <c r="P9" s="46" t="s">
        <v>827</v>
      </c>
      <c r="Q9" s="82"/>
      <c r="R9" s="82"/>
      <c r="S9" s="82"/>
      <c r="T9" s="82"/>
      <c r="U9" s="82"/>
      <c r="V9" s="82"/>
      <c r="W9" s="82"/>
      <c r="X9" s="82"/>
    </row>
    <row r="10">
      <c r="A10" s="14">
        <v>9.0</v>
      </c>
      <c r="B10" s="67" t="s">
        <v>935</v>
      </c>
      <c r="C10" s="68" t="s">
        <v>800</v>
      </c>
      <c r="D10" s="83" t="b">
        <v>1</v>
      </c>
      <c r="E10" s="68" t="s">
        <v>936</v>
      </c>
      <c r="F10" s="68" t="s">
        <v>937</v>
      </c>
      <c r="G10" s="83" t="b">
        <v>1</v>
      </c>
      <c r="H10" s="83" t="b">
        <v>0</v>
      </c>
      <c r="I10" s="68" t="s">
        <v>814</v>
      </c>
      <c r="J10" s="84">
        <v>2.0</v>
      </c>
      <c r="K10" s="68" t="s">
        <v>729</v>
      </c>
      <c r="L10" s="84">
        <v>2.0</v>
      </c>
      <c r="M10" s="42" t="s">
        <v>5</v>
      </c>
      <c r="N10" s="42" t="s">
        <v>821</v>
      </c>
      <c r="O10" s="85" t="s">
        <v>584</v>
      </c>
      <c r="P10" s="41" t="s">
        <v>827</v>
      </c>
      <c r="Q10" s="82"/>
      <c r="R10" s="82"/>
      <c r="S10" s="82"/>
      <c r="T10" s="82"/>
      <c r="U10" s="82"/>
      <c r="V10" s="82"/>
      <c r="W10" s="82"/>
      <c r="X10" s="82"/>
    </row>
    <row r="11">
      <c r="A11" s="14">
        <v>10.0</v>
      </c>
      <c r="B11" s="70" t="s">
        <v>944</v>
      </c>
      <c r="C11" s="71" t="s">
        <v>800</v>
      </c>
      <c r="D11" s="86" t="b">
        <v>1</v>
      </c>
      <c r="E11" s="71" t="s">
        <v>947</v>
      </c>
      <c r="F11" s="71" t="s">
        <v>949</v>
      </c>
      <c r="G11" s="86" t="b">
        <v>1</v>
      </c>
      <c r="H11" s="86" t="b">
        <v>0</v>
      </c>
      <c r="I11" s="71" t="s">
        <v>814</v>
      </c>
      <c r="J11" s="87">
        <v>25.0</v>
      </c>
      <c r="K11" s="71" t="s">
        <v>729</v>
      </c>
      <c r="L11" s="87">
        <v>25.0</v>
      </c>
      <c r="M11" s="47" t="s">
        <v>5</v>
      </c>
      <c r="N11" s="47" t="s">
        <v>821</v>
      </c>
      <c r="O11" s="89" t="s">
        <v>584</v>
      </c>
      <c r="P11" s="46" t="s">
        <v>827</v>
      </c>
      <c r="Q11" s="82"/>
      <c r="R11" s="82"/>
      <c r="S11" s="82"/>
      <c r="T11" s="82"/>
      <c r="U11" s="82"/>
      <c r="V11" s="82"/>
      <c r="W11" s="82"/>
      <c r="X11" s="82"/>
    </row>
    <row r="12">
      <c r="A12" s="14">
        <v>11.0</v>
      </c>
      <c r="B12" s="67" t="s">
        <v>954</v>
      </c>
      <c r="C12" s="68" t="s">
        <v>800</v>
      </c>
      <c r="D12" s="83" t="b">
        <v>1</v>
      </c>
      <c r="E12" s="68" t="s">
        <v>956</v>
      </c>
      <c r="F12" s="68" t="s">
        <v>957</v>
      </c>
      <c r="G12" s="83" t="b">
        <v>1</v>
      </c>
      <c r="H12" s="83" t="b">
        <v>0</v>
      </c>
      <c r="I12" s="68" t="s">
        <v>814</v>
      </c>
      <c r="J12" s="84">
        <v>30.0</v>
      </c>
      <c r="K12" s="68" t="s">
        <v>731</v>
      </c>
      <c r="L12" s="84">
        <v>30.0</v>
      </c>
      <c r="M12" s="42" t="s">
        <v>5</v>
      </c>
      <c r="N12" s="42" t="s">
        <v>821</v>
      </c>
      <c r="O12" s="85" t="s">
        <v>584</v>
      </c>
      <c r="P12" s="41" t="s">
        <v>827</v>
      </c>
      <c r="Q12" s="82"/>
      <c r="R12" s="82"/>
      <c r="S12" s="82"/>
      <c r="T12" s="82"/>
      <c r="U12" s="82"/>
      <c r="V12" s="82"/>
      <c r="W12" s="82"/>
      <c r="X12" s="82"/>
    </row>
    <row r="13">
      <c r="A13" s="14">
        <v>12.0</v>
      </c>
      <c r="B13" s="70" t="s">
        <v>961</v>
      </c>
      <c r="C13" s="71" t="s">
        <v>800</v>
      </c>
      <c r="D13" s="86" t="b">
        <v>1</v>
      </c>
      <c r="E13" s="71" t="s">
        <v>963</v>
      </c>
      <c r="F13" s="71" t="s">
        <v>964</v>
      </c>
      <c r="G13" s="86" t="b">
        <v>1</v>
      </c>
      <c r="H13" s="86" t="b">
        <v>0</v>
      </c>
      <c r="I13" s="71" t="s">
        <v>814</v>
      </c>
      <c r="J13" s="87">
        <v>10.0</v>
      </c>
      <c r="K13" s="71" t="s">
        <v>731</v>
      </c>
      <c r="L13" s="87">
        <v>10.0</v>
      </c>
      <c r="M13" s="47" t="s">
        <v>5</v>
      </c>
      <c r="N13" s="47" t="s">
        <v>821</v>
      </c>
      <c r="O13" s="89" t="s">
        <v>584</v>
      </c>
      <c r="P13" s="46" t="s">
        <v>827</v>
      </c>
      <c r="Q13" s="82"/>
      <c r="R13" s="82"/>
      <c r="S13" s="82"/>
      <c r="T13" s="82"/>
      <c r="U13" s="82"/>
      <c r="V13" s="82"/>
      <c r="W13" s="82"/>
      <c r="X13" s="82"/>
    </row>
    <row r="14">
      <c r="A14" s="14">
        <v>13.0</v>
      </c>
      <c r="B14" s="67" t="s">
        <v>969</v>
      </c>
      <c r="C14" s="68" t="s">
        <v>800</v>
      </c>
      <c r="D14" s="83" t="b">
        <v>1</v>
      </c>
      <c r="E14" s="68" t="s">
        <v>973</v>
      </c>
      <c r="F14" s="68" t="s">
        <v>974</v>
      </c>
      <c r="G14" s="83" t="b">
        <v>1</v>
      </c>
      <c r="H14" s="83" t="b">
        <v>1</v>
      </c>
      <c r="I14" s="68" t="s">
        <v>814</v>
      </c>
      <c r="J14" s="84">
        <v>3.0</v>
      </c>
      <c r="K14" s="68" t="s">
        <v>733</v>
      </c>
      <c r="L14" s="84">
        <v>7.5</v>
      </c>
      <c r="M14" s="42" t="s">
        <v>5</v>
      </c>
      <c r="N14" s="42" t="s">
        <v>821</v>
      </c>
      <c r="O14" s="85" t="s">
        <v>897</v>
      </c>
      <c r="P14" s="41" t="s">
        <v>827</v>
      </c>
      <c r="Q14" s="82"/>
      <c r="R14" s="82"/>
      <c r="S14" s="82"/>
      <c r="T14" s="82"/>
      <c r="U14" s="82"/>
      <c r="V14" s="82"/>
      <c r="W14" s="82"/>
      <c r="X14" s="82"/>
    </row>
    <row r="15">
      <c r="A15" s="14">
        <v>14.0</v>
      </c>
      <c r="B15" s="70" t="s">
        <v>976</v>
      </c>
      <c r="C15" s="71" t="s">
        <v>800</v>
      </c>
      <c r="D15" s="86" t="b">
        <v>1</v>
      </c>
      <c r="E15" s="71" t="s">
        <v>977</v>
      </c>
      <c r="F15" s="71" t="s">
        <v>978</v>
      </c>
      <c r="G15" s="86" t="b">
        <v>1</v>
      </c>
      <c r="H15" s="86" t="b">
        <v>1</v>
      </c>
      <c r="I15" s="71" t="s">
        <v>814</v>
      </c>
      <c r="J15" s="87">
        <v>12.0</v>
      </c>
      <c r="K15" s="71" t="s">
        <v>733</v>
      </c>
      <c r="L15" s="87">
        <v>26.0</v>
      </c>
      <c r="M15" s="47" t="s">
        <v>5</v>
      </c>
      <c r="N15" s="47" t="s">
        <v>821</v>
      </c>
      <c r="O15" s="89" t="s">
        <v>897</v>
      </c>
      <c r="P15" s="46" t="s">
        <v>827</v>
      </c>
      <c r="Q15" s="82"/>
      <c r="R15" s="82"/>
      <c r="S15" s="82"/>
      <c r="T15" s="82"/>
      <c r="U15" s="82"/>
      <c r="V15" s="82"/>
      <c r="W15" s="82"/>
      <c r="X15" s="82"/>
    </row>
    <row r="16">
      <c r="A16" s="14"/>
      <c r="B16" s="67" t="s">
        <v>968</v>
      </c>
      <c r="C16" s="68" t="s">
        <v>800</v>
      </c>
      <c r="D16" s="83" t="b">
        <v>1</v>
      </c>
      <c r="E16" s="68" t="s">
        <v>984</v>
      </c>
      <c r="F16" s="68" t="s">
        <v>986</v>
      </c>
      <c r="G16" s="83" t="b">
        <v>1</v>
      </c>
      <c r="H16" s="83" t="b">
        <v>0</v>
      </c>
      <c r="I16" s="68" t="s">
        <v>814</v>
      </c>
      <c r="J16" s="84">
        <v>60.0</v>
      </c>
      <c r="K16" s="68" t="s">
        <v>731</v>
      </c>
      <c r="L16" s="84">
        <v>60.0</v>
      </c>
      <c r="M16" s="42" t="s">
        <v>5</v>
      </c>
      <c r="N16" s="42" t="s">
        <v>821</v>
      </c>
      <c r="O16" s="85" t="s">
        <v>584</v>
      </c>
      <c r="P16" s="41" t="s">
        <v>827</v>
      </c>
      <c r="Q16" s="82"/>
      <c r="R16" s="82"/>
      <c r="S16" s="82"/>
      <c r="T16" s="82"/>
      <c r="U16" s="82"/>
      <c r="V16" s="82"/>
      <c r="W16" s="82"/>
      <c r="X16" s="82"/>
    </row>
    <row r="17">
      <c r="A17" s="14"/>
      <c r="B17" s="99" t="s">
        <v>972</v>
      </c>
      <c r="C17" s="100" t="s">
        <v>800</v>
      </c>
      <c r="D17" s="101" t="b">
        <v>1</v>
      </c>
      <c r="E17" s="100" t="s">
        <v>988</v>
      </c>
      <c r="F17" s="100" t="s">
        <v>989</v>
      </c>
      <c r="G17" s="101" t="b">
        <v>1</v>
      </c>
      <c r="H17" s="101" t="b">
        <v>0</v>
      </c>
      <c r="I17" s="100" t="s">
        <v>814</v>
      </c>
      <c r="J17" s="102">
        <v>90.0</v>
      </c>
      <c r="K17" s="100" t="s">
        <v>731</v>
      </c>
      <c r="L17" s="102">
        <v>90.0</v>
      </c>
      <c r="M17" s="78" t="s">
        <v>5</v>
      </c>
      <c r="N17" s="78" t="s">
        <v>821</v>
      </c>
      <c r="O17" s="103" t="s">
        <v>584</v>
      </c>
      <c r="P17" s="51" t="s">
        <v>827</v>
      </c>
      <c r="Q17" s="82"/>
      <c r="R17" s="82"/>
      <c r="S17" s="82"/>
      <c r="T17" s="82"/>
      <c r="U17" s="82"/>
      <c r="V17" s="82"/>
      <c r="W17" s="82"/>
      <c r="X17" s="82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15.0"/>
    <col customWidth="1" min="3" max="3" width="36.0"/>
    <col customWidth="1" min="4" max="4" width="22.0"/>
    <col customWidth="1" min="5" max="7" width="12.0"/>
    <col customWidth="1" min="8" max="8" width="16.0"/>
    <col customWidth="1" min="9" max="9" width="12.0"/>
    <col customWidth="1" min="10" max="10" width="19.0"/>
    <col customWidth="1" min="11" max="11" width="12.0"/>
    <col customWidth="1" min="12" max="26" width="14.38"/>
  </cols>
  <sheetData>
    <row r="1" ht="37.5" customHeight="1">
      <c r="A1" s="75" t="s">
        <v>0</v>
      </c>
      <c r="B1" s="75" t="s">
        <v>12</v>
      </c>
      <c r="C1" s="75" t="s">
        <v>822</v>
      </c>
      <c r="D1" s="75" t="s">
        <v>824</v>
      </c>
      <c r="E1" s="75" t="s">
        <v>92</v>
      </c>
      <c r="F1" s="75" t="s">
        <v>826</v>
      </c>
      <c r="G1" s="75" t="s">
        <v>829</v>
      </c>
      <c r="H1" s="75" t="s">
        <v>832</v>
      </c>
      <c r="I1" s="75" t="s">
        <v>709</v>
      </c>
      <c r="J1" s="75" t="s">
        <v>272</v>
      </c>
      <c r="K1" s="75" t="s">
        <v>847</v>
      </c>
    </row>
    <row r="2" ht="21.75" customHeight="1">
      <c r="A2" s="76" t="s">
        <v>849</v>
      </c>
      <c r="B2" s="76" t="s">
        <v>100</v>
      </c>
      <c r="C2" s="76" t="s">
        <v>854</v>
      </c>
      <c r="D2" s="76" t="s">
        <v>856</v>
      </c>
      <c r="E2" s="76">
        <v>1.0</v>
      </c>
      <c r="F2" s="76">
        <v>0.0</v>
      </c>
      <c r="G2" s="88">
        <v>200.0</v>
      </c>
      <c r="H2" s="76" t="s">
        <v>865</v>
      </c>
      <c r="I2" s="76">
        <v>7.0</v>
      </c>
      <c r="J2" s="76" t="s">
        <v>5</v>
      </c>
      <c r="K2" s="90">
        <v>42370.0</v>
      </c>
    </row>
    <row r="3" ht="21.75" customHeight="1">
      <c r="A3" s="77" t="s">
        <v>874</v>
      </c>
      <c r="B3" s="77" t="s">
        <v>128</v>
      </c>
      <c r="C3" s="77" t="s">
        <v>854</v>
      </c>
      <c r="D3" s="77" t="s">
        <v>856</v>
      </c>
      <c r="E3" s="77">
        <v>2.0</v>
      </c>
      <c r="F3" s="77">
        <v>0.0</v>
      </c>
      <c r="G3" s="91">
        <v>206.0</v>
      </c>
      <c r="H3" s="77" t="s">
        <v>865</v>
      </c>
      <c r="I3" s="77">
        <v>7.0</v>
      </c>
      <c r="J3" s="77" t="s">
        <v>5</v>
      </c>
      <c r="K3" s="92">
        <v>42370.0</v>
      </c>
    </row>
    <row r="4" ht="21.75" customHeight="1">
      <c r="A4" s="76" t="s">
        <v>896</v>
      </c>
      <c r="B4" s="76" t="s">
        <v>134</v>
      </c>
      <c r="C4" s="76" t="s">
        <v>854</v>
      </c>
      <c r="D4" s="76" t="s">
        <v>856</v>
      </c>
      <c r="E4" s="76">
        <v>3.0</v>
      </c>
      <c r="F4" s="76">
        <v>0.0</v>
      </c>
      <c r="G4" s="88">
        <v>212.0</v>
      </c>
      <c r="H4" s="76" t="s">
        <v>865</v>
      </c>
      <c r="I4" s="76">
        <v>12.0</v>
      </c>
      <c r="J4" s="76" t="s">
        <v>5</v>
      </c>
      <c r="K4" s="90">
        <v>44197.0</v>
      </c>
    </row>
    <row r="5" ht="21.75" customHeight="1">
      <c r="A5" s="77" t="s">
        <v>913</v>
      </c>
      <c r="B5" s="77" t="s">
        <v>100</v>
      </c>
      <c r="C5" s="77" t="s">
        <v>912</v>
      </c>
      <c r="D5" s="77" t="s">
        <v>905</v>
      </c>
      <c r="E5" s="77">
        <v>1.0</v>
      </c>
      <c r="F5" s="77">
        <v>0.0</v>
      </c>
      <c r="G5" s="91">
        <v>500.0</v>
      </c>
      <c r="H5" s="77" t="s">
        <v>865</v>
      </c>
      <c r="I5" s="77">
        <v>7.0</v>
      </c>
      <c r="J5" s="77" t="s">
        <v>5</v>
      </c>
      <c r="K5" s="92">
        <v>42370.0</v>
      </c>
    </row>
    <row r="6" ht="21.75" customHeight="1">
      <c r="A6" s="76" t="s">
        <v>916</v>
      </c>
      <c r="B6" s="76" t="s">
        <v>128</v>
      </c>
      <c r="C6" s="76" t="s">
        <v>912</v>
      </c>
      <c r="D6" s="76" t="s">
        <v>905</v>
      </c>
      <c r="E6" s="76">
        <v>2.0</v>
      </c>
      <c r="F6" s="76">
        <v>0.0</v>
      </c>
      <c r="G6" s="88">
        <v>515.0</v>
      </c>
      <c r="H6" s="76" t="s">
        <v>865</v>
      </c>
      <c r="I6" s="76">
        <v>7.0</v>
      </c>
      <c r="J6" s="76" t="s">
        <v>5</v>
      </c>
      <c r="K6" s="90">
        <v>42370.0</v>
      </c>
    </row>
    <row r="7" ht="21.75" customHeight="1">
      <c r="A7" s="77" t="s">
        <v>920</v>
      </c>
      <c r="B7" s="77" t="s">
        <v>134</v>
      </c>
      <c r="C7" s="77" t="s">
        <v>912</v>
      </c>
      <c r="D7" s="77" t="s">
        <v>905</v>
      </c>
      <c r="E7" s="77">
        <v>3.0</v>
      </c>
      <c r="F7" s="77">
        <v>0.0</v>
      </c>
      <c r="G7" s="91">
        <v>530.0</v>
      </c>
      <c r="H7" s="77" t="s">
        <v>865</v>
      </c>
      <c r="I7" s="77">
        <v>12.0</v>
      </c>
      <c r="J7" s="77" t="s">
        <v>5</v>
      </c>
      <c r="K7" s="92">
        <v>44197.0</v>
      </c>
    </row>
    <row r="8" ht="21.75" customHeight="1">
      <c r="A8" s="76" t="s">
        <v>924</v>
      </c>
      <c r="B8" s="76" t="s">
        <v>85</v>
      </c>
      <c r="C8" s="76" t="s">
        <v>925</v>
      </c>
      <c r="D8" s="76" t="s">
        <v>926</v>
      </c>
      <c r="E8" s="76">
        <v>1.0</v>
      </c>
      <c r="F8" s="76">
        <v>0.0</v>
      </c>
      <c r="G8" s="88">
        <v>15.0</v>
      </c>
      <c r="H8" s="76" t="s">
        <v>865</v>
      </c>
      <c r="I8" s="76">
        <v>7.0</v>
      </c>
      <c r="J8" s="76" t="s">
        <v>5</v>
      </c>
      <c r="K8" s="90">
        <v>42370.0</v>
      </c>
    </row>
    <row r="9" ht="21.75" customHeight="1">
      <c r="A9" s="77" t="s">
        <v>927</v>
      </c>
      <c r="B9" s="77" t="s">
        <v>111</v>
      </c>
      <c r="C9" s="77" t="s">
        <v>925</v>
      </c>
      <c r="D9" s="77" t="s">
        <v>926</v>
      </c>
      <c r="E9" s="77">
        <v>2.0</v>
      </c>
      <c r="F9" s="77">
        <v>0.0</v>
      </c>
      <c r="G9" s="91">
        <v>15.45</v>
      </c>
      <c r="H9" s="77" t="s">
        <v>865</v>
      </c>
      <c r="I9" s="77">
        <v>7.0</v>
      </c>
      <c r="J9" s="77" t="s">
        <v>5</v>
      </c>
      <c r="K9" s="92">
        <v>42370.0</v>
      </c>
    </row>
    <row r="10" ht="21.75" customHeight="1">
      <c r="A10" s="76" t="s">
        <v>929</v>
      </c>
      <c r="B10" s="76" t="s">
        <v>167</v>
      </c>
      <c r="C10" s="76" t="s">
        <v>925</v>
      </c>
      <c r="D10" s="76" t="s">
        <v>926</v>
      </c>
      <c r="E10" s="76">
        <v>3.0</v>
      </c>
      <c r="F10" s="76">
        <v>0.0</v>
      </c>
      <c r="G10" s="88">
        <v>15.9</v>
      </c>
      <c r="H10" s="76" t="s">
        <v>865</v>
      </c>
      <c r="I10" s="76">
        <v>12.0</v>
      </c>
      <c r="J10" s="76" t="s">
        <v>5</v>
      </c>
      <c r="K10" s="90">
        <v>44197.0</v>
      </c>
    </row>
    <row r="11" ht="21.75" customHeight="1">
      <c r="A11" s="77" t="s">
        <v>933</v>
      </c>
      <c r="B11" s="77" t="s">
        <v>85</v>
      </c>
      <c r="C11" s="77" t="s">
        <v>932</v>
      </c>
      <c r="D11" s="77" t="s">
        <v>930</v>
      </c>
      <c r="E11" s="77">
        <v>1.0</v>
      </c>
      <c r="F11" s="77">
        <v>0.0</v>
      </c>
      <c r="G11" s="91">
        <v>5.0</v>
      </c>
      <c r="H11" s="77" t="s">
        <v>865</v>
      </c>
      <c r="I11" s="77">
        <v>7.0</v>
      </c>
      <c r="J11" s="77" t="s">
        <v>5</v>
      </c>
      <c r="K11" s="92">
        <v>42370.0</v>
      </c>
    </row>
    <row r="12" ht="21.75" customHeight="1">
      <c r="A12" s="76" t="s">
        <v>934</v>
      </c>
      <c r="B12" s="76" t="s">
        <v>111</v>
      </c>
      <c r="C12" s="76" t="s">
        <v>932</v>
      </c>
      <c r="D12" s="76" t="s">
        <v>930</v>
      </c>
      <c r="E12" s="76">
        <v>2.0</v>
      </c>
      <c r="F12" s="76">
        <v>0.0</v>
      </c>
      <c r="G12" s="88">
        <v>5.15</v>
      </c>
      <c r="H12" s="76" t="s">
        <v>865</v>
      </c>
      <c r="I12" s="76">
        <v>7.0</v>
      </c>
      <c r="J12" s="76" t="s">
        <v>5</v>
      </c>
      <c r="K12" s="90">
        <v>42370.0</v>
      </c>
    </row>
    <row r="13" ht="21.75" customHeight="1">
      <c r="A13" s="77" t="s">
        <v>938</v>
      </c>
      <c r="B13" s="77" t="s">
        <v>167</v>
      </c>
      <c r="C13" s="77" t="s">
        <v>932</v>
      </c>
      <c r="D13" s="77" t="s">
        <v>930</v>
      </c>
      <c r="E13" s="77">
        <v>3.0</v>
      </c>
      <c r="F13" s="77">
        <v>0.0</v>
      </c>
      <c r="G13" s="91">
        <v>5.3</v>
      </c>
      <c r="H13" s="77" t="s">
        <v>865</v>
      </c>
      <c r="I13" s="77">
        <v>12.0</v>
      </c>
      <c r="J13" s="77" t="s">
        <v>5</v>
      </c>
      <c r="K13" s="92">
        <v>44197.0</v>
      </c>
    </row>
    <row r="14" ht="21.75" customHeight="1">
      <c r="A14" s="76" t="s">
        <v>942</v>
      </c>
      <c r="B14" s="76" t="s">
        <v>85</v>
      </c>
      <c r="C14" s="76" t="s">
        <v>937</v>
      </c>
      <c r="D14" s="76" t="s">
        <v>935</v>
      </c>
      <c r="E14" s="76">
        <v>1.0</v>
      </c>
      <c r="F14" s="76">
        <v>0.0</v>
      </c>
      <c r="G14" s="88">
        <v>2.0</v>
      </c>
      <c r="H14" s="76" t="s">
        <v>865</v>
      </c>
      <c r="I14" s="76">
        <v>7.0</v>
      </c>
      <c r="J14" s="76" t="s">
        <v>5</v>
      </c>
      <c r="K14" s="90">
        <v>42370.0</v>
      </c>
    </row>
    <row r="15" ht="21.75" customHeight="1">
      <c r="A15" s="77" t="s">
        <v>946</v>
      </c>
      <c r="B15" s="77" t="s">
        <v>111</v>
      </c>
      <c r="C15" s="77" t="s">
        <v>937</v>
      </c>
      <c r="D15" s="77" t="s">
        <v>935</v>
      </c>
      <c r="E15" s="77">
        <v>2.0</v>
      </c>
      <c r="F15" s="77">
        <v>0.0</v>
      </c>
      <c r="G15" s="91">
        <v>2.06</v>
      </c>
      <c r="H15" s="77" t="s">
        <v>865</v>
      </c>
      <c r="I15" s="77">
        <v>7.0</v>
      </c>
      <c r="J15" s="77" t="s">
        <v>5</v>
      </c>
      <c r="K15" s="92">
        <v>42370.0</v>
      </c>
    </row>
    <row r="16" ht="21.75" customHeight="1">
      <c r="A16" s="76" t="s">
        <v>952</v>
      </c>
      <c r="B16" s="76" t="s">
        <v>167</v>
      </c>
      <c r="C16" s="76" t="s">
        <v>937</v>
      </c>
      <c r="D16" s="76" t="s">
        <v>935</v>
      </c>
      <c r="E16" s="76">
        <v>3.0</v>
      </c>
      <c r="F16" s="76">
        <v>0.0</v>
      </c>
      <c r="G16" s="88">
        <v>2.12</v>
      </c>
      <c r="H16" s="76" t="s">
        <v>865</v>
      </c>
      <c r="I16" s="76">
        <v>12.0</v>
      </c>
      <c r="J16" s="76" t="s">
        <v>5</v>
      </c>
      <c r="K16" s="90">
        <v>44197.0</v>
      </c>
    </row>
    <row r="17" ht="21.75" customHeight="1">
      <c r="A17" s="77" t="s">
        <v>955</v>
      </c>
      <c r="B17" s="77" t="s">
        <v>85</v>
      </c>
      <c r="C17" s="77" t="s">
        <v>949</v>
      </c>
      <c r="D17" s="77" t="s">
        <v>944</v>
      </c>
      <c r="E17" s="77">
        <v>1.0</v>
      </c>
      <c r="F17" s="77">
        <v>0.0</v>
      </c>
      <c r="G17" s="91">
        <v>25.0</v>
      </c>
      <c r="H17" s="77" t="s">
        <v>865</v>
      </c>
      <c r="I17" s="77">
        <v>7.0</v>
      </c>
      <c r="J17" s="77" t="s">
        <v>5</v>
      </c>
      <c r="K17" s="92">
        <v>42370.0</v>
      </c>
    </row>
    <row r="18" ht="21.75" customHeight="1">
      <c r="A18" s="76" t="s">
        <v>959</v>
      </c>
      <c r="B18" s="76" t="s">
        <v>111</v>
      </c>
      <c r="C18" s="76" t="s">
        <v>949</v>
      </c>
      <c r="D18" s="76" t="s">
        <v>944</v>
      </c>
      <c r="E18" s="76">
        <v>2.0</v>
      </c>
      <c r="F18" s="76">
        <v>0.0</v>
      </c>
      <c r="G18" s="88">
        <v>25.75</v>
      </c>
      <c r="H18" s="76" t="s">
        <v>865</v>
      </c>
      <c r="I18" s="76">
        <v>7.0</v>
      </c>
      <c r="J18" s="76" t="s">
        <v>5</v>
      </c>
      <c r="K18" s="90">
        <v>42370.0</v>
      </c>
    </row>
    <row r="19" ht="21.75" customHeight="1">
      <c r="A19" s="77" t="s">
        <v>965</v>
      </c>
      <c r="B19" s="77" t="s">
        <v>167</v>
      </c>
      <c r="C19" s="77" t="s">
        <v>949</v>
      </c>
      <c r="D19" s="77" t="s">
        <v>944</v>
      </c>
      <c r="E19" s="77">
        <v>3.0</v>
      </c>
      <c r="F19" s="77">
        <v>0.0</v>
      </c>
      <c r="G19" s="91">
        <v>26.5</v>
      </c>
      <c r="H19" s="77" t="s">
        <v>865</v>
      </c>
      <c r="I19" s="77">
        <v>12.0</v>
      </c>
      <c r="J19" s="77" t="s">
        <v>5</v>
      </c>
      <c r="K19" s="92">
        <v>44197.0</v>
      </c>
    </row>
    <row r="20" ht="21.75" customHeight="1">
      <c r="A20" s="76" t="s">
        <v>971</v>
      </c>
      <c r="B20" s="76" t="s">
        <v>80</v>
      </c>
      <c r="C20" s="76" t="s">
        <v>957</v>
      </c>
      <c r="D20" s="76" t="s">
        <v>954</v>
      </c>
      <c r="E20" s="76">
        <v>1.0</v>
      </c>
      <c r="F20" s="76">
        <v>0.0</v>
      </c>
      <c r="G20" s="88">
        <v>30.0</v>
      </c>
      <c r="H20" s="76" t="s">
        <v>865</v>
      </c>
      <c r="I20" s="76">
        <v>7.0</v>
      </c>
      <c r="J20" s="76" t="s">
        <v>5</v>
      </c>
      <c r="K20" s="90">
        <v>42370.0</v>
      </c>
    </row>
    <row r="21" ht="21.75" customHeight="1">
      <c r="A21" s="77" t="s">
        <v>975</v>
      </c>
      <c r="B21" s="77" t="s">
        <v>87</v>
      </c>
      <c r="C21" s="77" t="s">
        <v>957</v>
      </c>
      <c r="D21" s="77" t="s">
        <v>954</v>
      </c>
      <c r="E21" s="77">
        <v>2.0</v>
      </c>
      <c r="F21" s="77">
        <v>0.0</v>
      </c>
      <c r="G21" s="91">
        <v>30.9</v>
      </c>
      <c r="H21" s="77" t="s">
        <v>865</v>
      </c>
      <c r="I21" s="77">
        <v>7.0</v>
      </c>
      <c r="J21" s="77" t="s">
        <v>5</v>
      </c>
      <c r="K21" s="92">
        <v>42370.0</v>
      </c>
    </row>
    <row r="22" ht="21.75" customHeight="1">
      <c r="A22" s="76" t="s">
        <v>979</v>
      </c>
      <c r="B22" s="76" t="s">
        <v>118</v>
      </c>
      <c r="C22" s="76" t="s">
        <v>957</v>
      </c>
      <c r="D22" s="76" t="s">
        <v>954</v>
      </c>
      <c r="E22" s="76">
        <v>3.0</v>
      </c>
      <c r="F22" s="76">
        <v>0.0</v>
      </c>
      <c r="G22" s="88">
        <v>31.8</v>
      </c>
      <c r="H22" s="76" t="s">
        <v>865</v>
      </c>
      <c r="I22" s="76">
        <v>12.0</v>
      </c>
      <c r="J22" s="76" t="s">
        <v>5</v>
      </c>
      <c r="K22" s="90">
        <v>44197.0</v>
      </c>
    </row>
    <row r="23" ht="21.75" customHeight="1">
      <c r="A23" s="77" t="s">
        <v>985</v>
      </c>
      <c r="B23" s="77" t="s">
        <v>80</v>
      </c>
      <c r="C23" s="77" t="s">
        <v>964</v>
      </c>
      <c r="D23" s="77" t="s">
        <v>961</v>
      </c>
      <c r="E23" s="77">
        <v>1.0</v>
      </c>
      <c r="F23" s="77">
        <v>0.0</v>
      </c>
      <c r="G23" s="91">
        <v>10.0</v>
      </c>
      <c r="H23" s="77" t="s">
        <v>865</v>
      </c>
      <c r="I23" s="77">
        <v>7.0</v>
      </c>
      <c r="J23" s="77" t="s">
        <v>5</v>
      </c>
      <c r="K23" s="92">
        <v>42370.0</v>
      </c>
    </row>
    <row r="24" ht="21.75" customHeight="1">
      <c r="A24" s="76" t="s">
        <v>987</v>
      </c>
      <c r="B24" s="76" t="s">
        <v>87</v>
      </c>
      <c r="C24" s="76" t="s">
        <v>964</v>
      </c>
      <c r="D24" s="76" t="s">
        <v>961</v>
      </c>
      <c r="E24" s="76">
        <v>2.0</v>
      </c>
      <c r="F24" s="76">
        <v>0.0</v>
      </c>
      <c r="G24" s="88">
        <v>10.3</v>
      </c>
      <c r="H24" s="76" t="s">
        <v>865</v>
      </c>
      <c r="I24" s="76">
        <v>7.0</v>
      </c>
      <c r="J24" s="76" t="s">
        <v>5</v>
      </c>
      <c r="K24" s="90">
        <v>42370.0</v>
      </c>
    </row>
    <row r="25" ht="21.75" customHeight="1">
      <c r="A25" s="77" t="s">
        <v>990</v>
      </c>
      <c r="B25" s="77" t="s">
        <v>118</v>
      </c>
      <c r="C25" s="77" t="s">
        <v>964</v>
      </c>
      <c r="D25" s="77" t="s">
        <v>961</v>
      </c>
      <c r="E25" s="77">
        <v>3.0</v>
      </c>
      <c r="F25" s="77">
        <v>0.0</v>
      </c>
      <c r="G25" s="91">
        <v>10.6</v>
      </c>
      <c r="H25" s="77" t="s">
        <v>865</v>
      </c>
      <c r="I25" s="77">
        <v>12.0</v>
      </c>
      <c r="J25" s="77" t="s">
        <v>5</v>
      </c>
      <c r="K25" s="92">
        <v>44197.0</v>
      </c>
    </row>
    <row r="26" ht="21.75" customHeight="1">
      <c r="A26" s="76" t="s">
        <v>995</v>
      </c>
      <c r="B26" s="76" t="s">
        <v>185</v>
      </c>
      <c r="C26" s="76" t="s">
        <v>974</v>
      </c>
      <c r="D26" s="76" t="s">
        <v>969</v>
      </c>
      <c r="E26" s="76">
        <v>1.0</v>
      </c>
      <c r="F26" s="76">
        <v>0.0</v>
      </c>
      <c r="G26" s="88">
        <v>3.0</v>
      </c>
      <c r="H26" s="76" t="s">
        <v>865</v>
      </c>
      <c r="I26" s="76">
        <v>7.0</v>
      </c>
      <c r="J26" s="76" t="s">
        <v>5</v>
      </c>
      <c r="K26" s="90">
        <v>42370.0</v>
      </c>
    </row>
    <row r="27" ht="21.75" customHeight="1">
      <c r="A27" s="77" t="s">
        <v>1008</v>
      </c>
      <c r="B27" s="77" t="s">
        <v>141</v>
      </c>
      <c r="C27" s="77" t="s">
        <v>974</v>
      </c>
      <c r="D27" s="77" t="s">
        <v>969</v>
      </c>
      <c r="E27" s="77">
        <v>2.0</v>
      </c>
      <c r="F27" s="77">
        <v>0.0</v>
      </c>
      <c r="G27" s="91">
        <v>3.09</v>
      </c>
      <c r="H27" s="77" t="s">
        <v>865</v>
      </c>
      <c r="I27" s="77">
        <v>7.0</v>
      </c>
      <c r="J27" s="77" t="s">
        <v>5</v>
      </c>
      <c r="K27" s="92">
        <v>42370.0</v>
      </c>
    </row>
    <row r="28" ht="21.75" customHeight="1">
      <c r="A28" s="76" t="s">
        <v>1024</v>
      </c>
      <c r="B28" s="76" t="s">
        <v>161</v>
      </c>
      <c r="C28" s="76" t="s">
        <v>974</v>
      </c>
      <c r="D28" s="76" t="s">
        <v>969</v>
      </c>
      <c r="E28" s="76">
        <v>3.0</v>
      </c>
      <c r="F28" s="76">
        <v>0.0</v>
      </c>
      <c r="G28" s="88">
        <v>3.18</v>
      </c>
      <c r="H28" s="76" t="s">
        <v>865</v>
      </c>
      <c r="I28" s="76">
        <v>12.0</v>
      </c>
      <c r="J28" s="76" t="s">
        <v>5</v>
      </c>
      <c r="K28" s="90">
        <v>44197.0</v>
      </c>
    </row>
    <row r="29" ht="21.75" customHeight="1">
      <c r="A29" s="77" t="s">
        <v>1041</v>
      </c>
      <c r="B29" s="77" t="s">
        <v>185</v>
      </c>
      <c r="C29" s="77" t="s">
        <v>978</v>
      </c>
      <c r="D29" s="77" t="s">
        <v>976</v>
      </c>
      <c r="E29" s="77">
        <v>1.0</v>
      </c>
      <c r="F29" s="77">
        <v>0.0</v>
      </c>
      <c r="G29" s="91">
        <v>12.0</v>
      </c>
      <c r="H29" s="77" t="s">
        <v>865</v>
      </c>
      <c r="I29" s="77">
        <v>7.0</v>
      </c>
      <c r="J29" s="77" t="s">
        <v>5</v>
      </c>
      <c r="K29" s="92">
        <v>42370.0</v>
      </c>
    </row>
    <row r="30" ht="21.75" customHeight="1">
      <c r="A30" s="76" t="s">
        <v>1042</v>
      </c>
      <c r="B30" s="76" t="s">
        <v>141</v>
      </c>
      <c r="C30" s="76" t="s">
        <v>978</v>
      </c>
      <c r="D30" s="76" t="s">
        <v>976</v>
      </c>
      <c r="E30" s="76">
        <v>2.0</v>
      </c>
      <c r="F30" s="76">
        <v>0.0</v>
      </c>
      <c r="G30" s="88">
        <v>12.36</v>
      </c>
      <c r="H30" s="76" t="s">
        <v>865</v>
      </c>
      <c r="I30" s="76">
        <v>7.0</v>
      </c>
      <c r="J30" s="76" t="s">
        <v>5</v>
      </c>
      <c r="K30" s="90">
        <v>42370.0</v>
      </c>
    </row>
    <row r="31" ht="21.75" customHeight="1">
      <c r="A31" s="77" t="s">
        <v>1043</v>
      </c>
      <c r="B31" s="77" t="s">
        <v>161</v>
      </c>
      <c r="C31" s="77" t="s">
        <v>978</v>
      </c>
      <c r="D31" s="77" t="s">
        <v>976</v>
      </c>
      <c r="E31" s="77">
        <v>3.0</v>
      </c>
      <c r="F31" s="77">
        <v>0.0</v>
      </c>
      <c r="G31" s="91">
        <v>12.72</v>
      </c>
      <c r="H31" s="77" t="s">
        <v>865</v>
      </c>
      <c r="I31" s="77">
        <v>12.0</v>
      </c>
      <c r="J31" s="77" t="s">
        <v>5</v>
      </c>
      <c r="K31" s="92">
        <v>44197.0</v>
      </c>
    </row>
    <row r="32" ht="21.75" customHeight="1">
      <c r="A32" s="76" t="s">
        <v>1044</v>
      </c>
      <c r="B32" s="76" t="s">
        <v>80</v>
      </c>
      <c r="C32" s="76" t="s">
        <v>986</v>
      </c>
      <c r="D32" s="76" t="s">
        <v>968</v>
      </c>
      <c r="E32" s="76">
        <v>1.0</v>
      </c>
      <c r="F32" s="76">
        <v>0.0</v>
      </c>
      <c r="G32" s="88">
        <v>60.0</v>
      </c>
      <c r="H32" s="76" t="s">
        <v>865</v>
      </c>
      <c r="I32" s="76">
        <v>7.0</v>
      </c>
      <c r="J32" s="76" t="s">
        <v>5</v>
      </c>
      <c r="K32" s="90">
        <v>42370.0</v>
      </c>
    </row>
    <row r="33" ht="21.75" customHeight="1">
      <c r="A33" s="77" t="s">
        <v>1057</v>
      </c>
      <c r="B33" s="77" t="s">
        <v>87</v>
      </c>
      <c r="C33" s="77" t="s">
        <v>986</v>
      </c>
      <c r="D33" s="77" t="s">
        <v>968</v>
      </c>
      <c r="E33" s="77">
        <v>2.0</v>
      </c>
      <c r="F33" s="77">
        <v>0.0</v>
      </c>
      <c r="G33" s="91">
        <v>61.8</v>
      </c>
      <c r="H33" s="77" t="s">
        <v>865</v>
      </c>
      <c r="I33" s="77">
        <v>7.0</v>
      </c>
      <c r="J33" s="77" t="s">
        <v>5</v>
      </c>
      <c r="K33" s="92">
        <v>42370.0</v>
      </c>
    </row>
    <row r="34" ht="21.75" customHeight="1">
      <c r="A34" s="76" t="s">
        <v>1067</v>
      </c>
      <c r="B34" s="76" t="s">
        <v>118</v>
      </c>
      <c r="C34" s="76" t="s">
        <v>986</v>
      </c>
      <c r="D34" s="76" t="s">
        <v>968</v>
      </c>
      <c r="E34" s="76">
        <v>3.0</v>
      </c>
      <c r="F34" s="76">
        <v>0.0</v>
      </c>
      <c r="G34" s="88">
        <v>63.6</v>
      </c>
      <c r="H34" s="76" t="s">
        <v>865</v>
      </c>
      <c r="I34" s="76">
        <v>12.0</v>
      </c>
      <c r="J34" s="76" t="s">
        <v>5</v>
      </c>
      <c r="K34" s="90">
        <v>44197.0</v>
      </c>
    </row>
    <row r="35" ht="21.75" customHeight="1">
      <c r="A35" s="77" t="s">
        <v>1074</v>
      </c>
      <c r="B35" s="77" t="s">
        <v>80</v>
      </c>
      <c r="C35" s="77" t="s">
        <v>989</v>
      </c>
      <c r="D35" s="77" t="s">
        <v>972</v>
      </c>
      <c r="E35" s="77">
        <v>1.0</v>
      </c>
      <c r="F35" s="77">
        <v>0.0</v>
      </c>
      <c r="G35" s="91">
        <v>90.0</v>
      </c>
      <c r="H35" s="77" t="s">
        <v>865</v>
      </c>
      <c r="I35" s="77">
        <v>7.0</v>
      </c>
      <c r="J35" s="77" t="s">
        <v>5</v>
      </c>
      <c r="K35" s="92">
        <v>42370.0</v>
      </c>
    </row>
    <row r="36" ht="21.75" customHeight="1">
      <c r="A36" s="76" t="s">
        <v>1087</v>
      </c>
      <c r="B36" s="76" t="s">
        <v>87</v>
      </c>
      <c r="C36" s="76" t="s">
        <v>989</v>
      </c>
      <c r="D36" s="76" t="s">
        <v>972</v>
      </c>
      <c r="E36" s="76">
        <v>2.0</v>
      </c>
      <c r="F36" s="76">
        <v>0.0</v>
      </c>
      <c r="G36" s="88">
        <v>92.7</v>
      </c>
      <c r="H36" s="76" t="s">
        <v>865</v>
      </c>
      <c r="I36" s="76">
        <v>7.0</v>
      </c>
      <c r="J36" s="76" t="s">
        <v>5</v>
      </c>
      <c r="K36" s="90">
        <v>42370.0</v>
      </c>
    </row>
    <row r="37" ht="21.75" customHeight="1">
      <c r="A37" s="77" t="s">
        <v>1101</v>
      </c>
      <c r="B37" s="77" t="s">
        <v>118</v>
      </c>
      <c r="C37" s="77" t="s">
        <v>989</v>
      </c>
      <c r="D37" s="77" t="s">
        <v>972</v>
      </c>
      <c r="E37" s="77">
        <v>3.0</v>
      </c>
      <c r="F37" s="77">
        <v>0.0</v>
      </c>
      <c r="G37" s="91">
        <v>95.4</v>
      </c>
      <c r="H37" s="77" t="s">
        <v>865</v>
      </c>
      <c r="I37" s="77">
        <v>12.0</v>
      </c>
      <c r="J37" s="77" t="s">
        <v>5</v>
      </c>
      <c r="K37" s="92">
        <v>44197.0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66" t="s">
        <v>822</v>
      </c>
      <c r="C1" s="39" t="s">
        <v>824</v>
      </c>
      <c r="D1" s="39" t="s">
        <v>939</v>
      </c>
      <c r="E1" s="39" t="s">
        <v>769</v>
      </c>
      <c r="F1" s="39" t="s">
        <v>272</v>
      </c>
      <c r="G1" s="39" t="s">
        <v>776</v>
      </c>
      <c r="H1" s="39" t="s">
        <v>701</v>
      </c>
    </row>
    <row r="2">
      <c r="A2" s="40" t="s">
        <v>940</v>
      </c>
      <c r="B2" s="68" t="s">
        <v>919</v>
      </c>
      <c r="C2" s="42" t="s">
        <v>917</v>
      </c>
      <c r="D2" s="44">
        <v>1.0</v>
      </c>
      <c r="E2" s="42" t="s">
        <v>941</v>
      </c>
      <c r="F2" s="42" t="s">
        <v>5</v>
      </c>
      <c r="G2" s="42" t="s">
        <v>814</v>
      </c>
      <c r="H2" s="41" t="s">
        <v>607</v>
      </c>
    </row>
    <row r="3">
      <c r="A3" s="43" t="s">
        <v>943</v>
      </c>
      <c r="B3" s="71" t="s">
        <v>923</v>
      </c>
      <c r="C3" s="47" t="s">
        <v>921</v>
      </c>
      <c r="D3" s="48">
        <v>1.0</v>
      </c>
      <c r="E3" s="47" t="s">
        <v>941</v>
      </c>
      <c r="F3" s="47" t="s">
        <v>5</v>
      </c>
      <c r="G3" s="47" t="s">
        <v>814</v>
      </c>
      <c r="H3" s="46" t="s">
        <v>607</v>
      </c>
    </row>
    <row r="4">
      <c r="A4" s="40" t="s">
        <v>945</v>
      </c>
      <c r="B4" s="68" t="s">
        <v>809</v>
      </c>
      <c r="C4" s="42" t="s">
        <v>796</v>
      </c>
      <c r="D4" s="44">
        <v>1.0</v>
      </c>
      <c r="E4" s="42" t="s">
        <v>941</v>
      </c>
      <c r="F4" s="42" t="s">
        <v>5</v>
      </c>
      <c r="G4" s="42" t="s">
        <v>814</v>
      </c>
      <c r="H4" s="41" t="s">
        <v>607</v>
      </c>
    </row>
    <row r="5">
      <c r="A5" s="50" t="s">
        <v>948</v>
      </c>
      <c r="B5" s="78" t="s">
        <v>842</v>
      </c>
      <c r="C5" s="78" t="s">
        <v>833</v>
      </c>
      <c r="D5" s="79">
        <v>1.0</v>
      </c>
      <c r="E5" s="78" t="s">
        <v>941</v>
      </c>
      <c r="F5" s="78" t="s">
        <v>5</v>
      </c>
      <c r="G5" s="78" t="s">
        <v>814</v>
      </c>
      <c r="H5" s="51" t="s">
        <v>607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9" t="s">
        <v>0</v>
      </c>
      <c r="B1" s="39" t="s">
        <v>950</v>
      </c>
      <c r="C1" s="39" t="s">
        <v>824</v>
      </c>
      <c r="D1" s="39" t="s">
        <v>939</v>
      </c>
      <c r="E1" s="39" t="s">
        <v>776</v>
      </c>
    </row>
    <row r="2">
      <c r="A2" s="40" t="s">
        <v>951</v>
      </c>
      <c r="B2" s="42" t="s">
        <v>940</v>
      </c>
      <c r="C2" s="42" t="s">
        <v>926</v>
      </c>
      <c r="D2" s="44">
        <v>1.0</v>
      </c>
      <c r="E2" s="41" t="s">
        <v>814</v>
      </c>
    </row>
    <row r="3">
      <c r="A3" s="43" t="s">
        <v>953</v>
      </c>
      <c r="B3" s="47" t="s">
        <v>940</v>
      </c>
      <c r="C3" s="47" t="s">
        <v>930</v>
      </c>
      <c r="D3" s="48">
        <v>2.0</v>
      </c>
      <c r="E3" s="46" t="s">
        <v>814</v>
      </c>
    </row>
    <row r="4">
      <c r="A4" s="40" t="s">
        <v>958</v>
      </c>
      <c r="B4" s="42" t="s">
        <v>943</v>
      </c>
      <c r="C4" s="42" t="s">
        <v>935</v>
      </c>
      <c r="D4" s="44">
        <v>5.0</v>
      </c>
      <c r="E4" s="41" t="s">
        <v>814</v>
      </c>
    </row>
    <row r="5">
      <c r="A5" s="43" t="s">
        <v>960</v>
      </c>
      <c r="B5" s="47" t="s">
        <v>943</v>
      </c>
      <c r="C5" s="47" t="s">
        <v>944</v>
      </c>
      <c r="D5" s="48">
        <v>1.0</v>
      </c>
      <c r="E5" s="46" t="s">
        <v>814</v>
      </c>
    </row>
    <row r="6">
      <c r="A6" s="40" t="s">
        <v>962</v>
      </c>
      <c r="B6" s="42" t="s">
        <v>945</v>
      </c>
      <c r="C6" s="42" t="s">
        <v>954</v>
      </c>
      <c r="D6" s="44">
        <v>1.0</v>
      </c>
      <c r="E6" s="41" t="s">
        <v>814</v>
      </c>
    </row>
    <row r="7">
      <c r="A7" s="43" t="s">
        <v>966</v>
      </c>
      <c r="B7" s="47" t="s">
        <v>945</v>
      </c>
      <c r="C7" s="47" t="s">
        <v>961</v>
      </c>
      <c r="D7" s="48">
        <v>1.0</v>
      </c>
      <c r="E7" s="46" t="s">
        <v>814</v>
      </c>
    </row>
    <row r="8">
      <c r="A8" s="40" t="s">
        <v>967</v>
      </c>
      <c r="B8" s="42" t="s">
        <v>948</v>
      </c>
      <c r="C8" s="42" t="s">
        <v>968</v>
      </c>
      <c r="D8" s="44">
        <v>1.0</v>
      </c>
      <c r="E8" s="41" t="s">
        <v>814</v>
      </c>
    </row>
    <row r="9">
      <c r="A9" s="50" t="s">
        <v>970</v>
      </c>
      <c r="B9" s="78" t="s">
        <v>948</v>
      </c>
      <c r="C9" s="78" t="s">
        <v>972</v>
      </c>
      <c r="D9" s="79">
        <v>1.0</v>
      </c>
      <c r="E9" s="51" t="s">
        <v>814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3" t="s">
        <v>0</v>
      </c>
      <c r="B1" s="3" t="s">
        <v>2</v>
      </c>
    </row>
    <row r="2">
      <c r="A2" s="3" t="s">
        <v>980</v>
      </c>
      <c r="B2" s="3" t="s">
        <v>981</v>
      </c>
    </row>
    <row r="3">
      <c r="A3" s="98" t="s">
        <v>982</v>
      </c>
      <c r="B3" s="1" t="s">
        <v>983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3" max="3" width="16.88"/>
  </cols>
  <sheetData>
    <row r="1">
      <c r="A1" s="3" t="s">
        <v>0</v>
      </c>
      <c r="B1" s="3" t="s">
        <v>2</v>
      </c>
      <c r="C1" s="3" t="s">
        <v>1006</v>
      </c>
    </row>
    <row r="2">
      <c r="A2" s="58" t="s">
        <v>1007</v>
      </c>
      <c r="B2" s="16" t="s">
        <v>714</v>
      </c>
      <c r="C2" s="16" t="s">
        <v>980</v>
      </c>
      <c r="D2" s="104"/>
    </row>
    <row r="3">
      <c r="A3" s="52" t="s">
        <v>1009</v>
      </c>
      <c r="B3" s="23" t="s">
        <v>723</v>
      </c>
      <c r="C3" s="23" t="s">
        <v>980</v>
      </c>
      <c r="D3" s="105"/>
    </row>
    <row r="4">
      <c r="A4" s="15" t="s">
        <v>1015</v>
      </c>
      <c r="B4" s="107" t="s">
        <v>1016</v>
      </c>
      <c r="C4" s="107" t="s">
        <v>982</v>
      </c>
      <c r="D4" s="104"/>
    </row>
    <row r="5">
      <c r="A5" s="108" t="s">
        <v>1018</v>
      </c>
      <c r="B5" s="109" t="s">
        <v>1021</v>
      </c>
      <c r="C5" s="109" t="s">
        <v>982</v>
      </c>
      <c r="D5" s="111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6.0"/>
    <col customWidth="1" min="3" max="3" width="23.63"/>
    <col customWidth="1" min="5" max="5" width="20.0"/>
  </cols>
  <sheetData>
    <row r="1">
      <c r="A1" s="3" t="s">
        <v>0</v>
      </c>
      <c r="B1" s="3" t="s">
        <v>991</v>
      </c>
      <c r="C1" s="3" t="s">
        <v>992</v>
      </c>
    </row>
    <row r="2">
      <c r="A2" s="3" t="s">
        <v>993</v>
      </c>
      <c r="B2" s="3" t="s">
        <v>711</v>
      </c>
      <c r="C2" s="98" t="s">
        <v>994</v>
      </c>
      <c r="E2" s="7"/>
      <c r="F2" s="3"/>
      <c r="G2" s="98"/>
    </row>
    <row r="3">
      <c r="A3" s="3" t="s">
        <v>996</v>
      </c>
      <c r="B3" s="3" t="s">
        <v>722</v>
      </c>
      <c r="C3" s="98" t="s">
        <v>997</v>
      </c>
      <c r="E3" s="7"/>
      <c r="F3" s="3"/>
      <c r="G3" s="98"/>
    </row>
    <row r="4">
      <c r="A4" s="98" t="s">
        <v>998</v>
      </c>
      <c r="B4" s="3" t="s">
        <v>715</v>
      </c>
      <c r="C4" s="98" t="s">
        <v>994</v>
      </c>
      <c r="E4" s="7"/>
      <c r="F4" s="98"/>
      <c r="G4" s="98"/>
    </row>
    <row r="5">
      <c r="A5" s="98" t="s">
        <v>999</v>
      </c>
      <c r="B5" s="3" t="s">
        <v>720</v>
      </c>
      <c r="C5" s="98" t="s">
        <v>1000</v>
      </c>
      <c r="E5" s="7"/>
      <c r="F5" s="98"/>
      <c r="G5" s="98"/>
    </row>
    <row r="6">
      <c r="A6" s="98" t="s">
        <v>1001</v>
      </c>
      <c r="B6" s="3" t="s">
        <v>724</v>
      </c>
      <c r="C6" s="98" t="s">
        <v>1002</v>
      </c>
      <c r="E6" s="7"/>
      <c r="F6" s="7"/>
    </row>
    <row r="7">
      <c r="A7" s="98" t="s">
        <v>1003</v>
      </c>
      <c r="B7" s="3" t="s">
        <v>729</v>
      </c>
      <c r="C7" s="98" t="s">
        <v>997</v>
      </c>
      <c r="E7" s="7"/>
      <c r="F7" s="7"/>
    </row>
    <row r="8">
      <c r="A8" s="98" t="s">
        <v>1004</v>
      </c>
      <c r="B8" s="3" t="s">
        <v>731</v>
      </c>
      <c r="C8" s="98" t="s">
        <v>997</v>
      </c>
      <c r="E8" s="7"/>
      <c r="F8" s="7"/>
    </row>
    <row r="9">
      <c r="A9" s="98" t="s">
        <v>1005</v>
      </c>
      <c r="B9" s="3" t="s">
        <v>733</v>
      </c>
      <c r="C9" s="98" t="s">
        <v>1000</v>
      </c>
      <c r="E9" s="3"/>
      <c r="F9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3" t="s">
        <v>0</v>
      </c>
      <c r="B1" s="3" t="s">
        <v>2</v>
      </c>
      <c r="C1" s="3" t="s">
        <v>1010</v>
      </c>
      <c r="D1" s="3" t="s">
        <v>1011</v>
      </c>
      <c r="E1" s="1" t="s">
        <v>1012</v>
      </c>
    </row>
    <row r="2">
      <c r="A2" s="58" t="s">
        <v>1013</v>
      </c>
      <c r="B2" s="16" t="s">
        <v>1014</v>
      </c>
      <c r="C2" s="106">
        <v>42370.0</v>
      </c>
      <c r="D2" s="106">
        <v>42735.0</v>
      </c>
      <c r="E2" s="35" t="s">
        <v>1017</v>
      </c>
    </row>
    <row r="3">
      <c r="A3" s="52" t="s">
        <v>1019</v>
      </c>
      <c r="B3" s="23" t="s">
        <v>1020</v>
      </c>
      <c r="C3" s="110">
        <v>42736.0</v>
      </c>
      <c r="D3" s="110">
        <v>43100.0</v>
      </c>
      <c r="E3" s="38" t="s">
        <v>1017</v>
      </c>
    </row>
    <row r="4">
      <c r="A4" s="58" t="s">
        <v>1022</v>
      </c>
      <c r="B4" s="16" t="s">
        <v>1023</v>
      </c>
      <c r="C4" s="106">
        <v>43101.0</v>
      </c>
      <c r="D4" s="106">
        <v>43465.0</v>
      </c>
      <c r="E4" s="35" t="s">
        <v>1017</v>
      </c>
    </row>
    <row r="5">
      <c r="A5" s="52" t="s">
        <v>1025</v>
      </c>
      <c r="B5" s="23" t="s">
        <v>1026</v>
      </c>
      <c r="C5" s="110">
        <v>43466.0</v>
      </c>
      <c r="D5" s="110">
        <v>43830.0</v>
      </c>
      <c r="E5" s="38" t="s">
        <v>1017</v>
      </c>
    </row>
    <row r="6">
      <c r="A6" s="58" t="s">
        <v>1027</v>
      </c>
      <c r="B6" s="16" t="s">
        <v>1028</v>
      </c>
      <c r="C6" s="106">
        <v>43831.0</v>
      </c>
      <c r="D6" s="106">
        <v>44196.0</v>
      </c>
      <c r="E6" s="35" t="s">
        <v>1017</v>
      </c>
    </row>
    <row r="7">
      <c r="A7" s="52" t="s">
        <v>1029</v>
      </c>
      <c r="B7" s="23" t="s">
        <v>1030</v>
      </c>
      <c r="C7" s="110">
        <v>44197.0</v>
      </c>
      <c r="D7" s="110">
        <v>44561.0</v>
      </c>
      <c r="E7" s="38" t="s">
        <v>1017</v>
      </c>
    </row>
    <row r="8">
      <c r="A8" s="58" t="s">
        <v>1031</v>
      </c>
      <c r="B8" s="16" t="s">
        <v>1032</v>
      </c>
      <c r="C8" s="106">
        <v>44562.0</v>
      </c>
      <c r="D8" s="106">
        <v>44926.0</v>
      </c>
      <c r="E8" s="35" t="s">
        <v>1017</v>
      </c>
    </row>
    <row r="9">
      <c r="A9" s="52" t="s">
        <v>1033</v>
      </c>
      <c r="B9" s="23" t="s">
        <v>1034</v>
      </c>
      <c r="C9" s="110">
        <v>44927.0</v>
      </c>
      <c r="D9" s="110">
        <v>45291.0</v>
      </c>
      <c r="E9" s="38" t="s">
        <v>1017</v>
      </c>
    </row>
    <row r="10">
      <c r="A10" s="58" t="s">
        <v>1035</v>
      </c>
      <c r="B10" s="16" t="s">
        <v>1036</v>
      </c>
      <c r="C10" s="106">
        <v>45292.0</v>
      </c>
      <c r="D10" s="106">
        <v>45657.0</v>
      </c>
      <c r="E10" s="35" t="s">
        <v>1017</v>
      </c>
    </row>
    <row r="11">
      <c r="A11" s="52" t="s">
        <v>1037</v>
      </c>
      <c r="B11" s="23" t="s">
        <v>1038</v>
      </c>
      <c r="C11" s="110">
        <v>45658.0</v>
      </c>
      <c r="D11" s="110">
        <v>46022.0</v>
      </c>
      <c r="E11" s="38" t="s">
        <v>1017</v>
      </c>
    </row>
    <row r="12">
      <c r="A12" s="93" t="s">
        <v>1039</v>
      </c>
      <c r="B12" s="94" t="s">
        <v>1040</v>
      </c>
      <c r="C12" s="112">
        <v>46023.0</v>
      </c>
      <c r="D12" s="112">
        <v>46387.0</v>
      </c>
      <c r="E12" s="113" t="s">
        <v>1017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4" max="4" width="17.63"/>
  </cols>
  <sheetData>
    <row r="1">
      <c r="A1" s="3" t="s">
        <v>0</v>
      </c>
      <c r="B1" s="98" t="s">
        <v>1045</v>
      </c>
      <c r="C1" s="98" t="s">
        <v>1046</v>
      </c>
      <c r="D1" s="98" t="s">
        <v>1047</v>
      </c>
      <c r="E1" s="98" t="s">
        <v>1048</v>
      </c>
      <c r="F1" s="3"/>
      <c r="G1" s="3"/>
    </row>
    <row r="2">
      <c r="A2" s="58" t="s">
        <v>1049</v>
      </c>
      <c r="B2" s="16" t="s">
        <v>1013</v>
      </c>
      <c r="C2" s="29"/>
      <c r="D2" s="16" t="s">
        <v>1007</v>
      </c>
      <c r="E2" s="115">
        <v>1500000.0</v>
      </c>
      <c r="F2" s="117"/>
      <c r="G2" s="117"/>
    </row>
    <row r="3">
      <c r="A3" s="52" t="s">
        <v>1055</v>
      </c>
      <c r="B3" s="23" t="s">
        <v>1013</v>
      </c>
      <c r="C3" s="32"/>
      <c r="D3" s="23" t="s">
        <v>1009</v>
      </c>
      <c r="E3" s="118">
        <v>1000000.0</v>
      </c>
      <c r="F3" s="117"/>
      <c r="G3" s="117"/>
    </row>
    <row r="4">
      <c r="A4" s="58" t="s">
        <v>1058</v>
      </c>
      <c r="B4" s="16" t="s">
        <v>1013</v>
      </c>
      <c r="C4" s="16" t="s">
        <v>1018</v>
      </c>
      <c r="D4" s="29"/>
      <c r="E4" s="115">
        <v>1125000.0</v>
      </c>
      <c r="F4" s="117"/>
      <c r="G4" s="117"/>
    </row>
    <row r="5">
      <c r="A5" s="52" t="s">
        <v>1059</v>
      </c>
      <c r="B5" s="23" t="s">
        <v>1013</v>
      </c>
      <c r="C5" s="23" t="s">
        <v>1015</v>
      </c>
      <c r="D5" s="32"/>
      <c r="E5" s="118">
        <v>1375000.0</v>
      </c>
      <c r="F5" s="117"/>
      <c r="G5" s="117"/>
    </row>
    <row r="6">
      <c r="A6" s="58" t="s">
        <v>1060</v>
      </c>
      <c r="B6" s="16" t="s">
        <v>1019</v>
      </c>
      <c r="C6" s="29"/>
      <c r="D6" s="16" t="s">
        <v>1007</v>
      </c>
      <c r="E6" s="115">
        <v>1800000.0</v>
      </c>
      <c r="F6" s="117"/>
      <c r="G6" s="117"/>
    </row>
    <row r="7">
      <c r="A7" s="52" t="s">
        <v>1061</v>
      </c>
      <c r="B7" s="23" t="s">
        <v>1019</v>
      </c>
      <c r="C7" s="32"/>
      <c r="D7" s="23" t="s">
        <v>1009</v>
      </c>
      <c r="E7" s="118">
        <v>1200000.0</v>
      </c>
      <c r="F7" s="117"/>
      <c r="G7" s="117"/>
    </row>
    <row r="8">
      <c r="A8" s="58" t="s">
        <v>1062</v>
      </c>
      <c r="B8" s="16" t="s">
        <v>1019</v>
      </c>
      <c r="C8" s="16" t="s">
        <v>1018</v>
      </c>
      <c r="D8" s="29"/>
      <c r="E8" s="115">
        <v>1350000.0</v>
      </c>
      <c r="F8" s="117"/>
      <c r="G8" s="117"/>
    </row>
    <row r="9">
      <c r="A9" s="52" t="s">
        <v>1063</v>
      </c>
      <c r="B9" s="23" t="s">
        <v>1019</v>
      </c>
      <c r="C9" s="23" t="s">
        <v>1015</v>
      </c>
      <c r="D9" s="32"/>
      <c r="E9" s="118">
        <v>1650000.0</v>
      </c>
      <c r="F9" s="117"/>
      <c r="G9" s="117"/>
    </row>
    <row r="10">
      <c r="A10" s="58" t="s">
        <v>1064</v>
      </c>
      <c r="B10" s="16" t="s">
        <v>1022</v>
      </c>
      <c r="C10" s="29"/>
      <c r="D10" s="16" t="s">
        <v>1007</v>
      </c>
      <c r="E10" s="115">
        <v>2100000.0</v>
      </c>
      <c r="F10" s="117"/>
      <c r="G10" s="117"/>
    </row>
    <row r="11">
      <c r="A11" s="52" t="s">
        <v>1065</v>
      </c>
      <c r="B11" s="23" t="s">
        <v>1022</v>
      </c>
      <c r="C11" s="32"/>
      <c r="D11" s="23" t="s">
        <v>1009</v>
      </c>
      <c r="E11" s="118">
        <v>1400000.0</v>
      </c>
      <c r="F11" s="117"/>
      <c r="G11" s="117"/>
    </row>
    <row r="12">
      <c r="A12" s="58" t="s">
        <v>1066</v>
      </c>
      <c r="B12" s="16" t="s">
        <v>1022</v>
      </c>
      <c r="C12" s="16" t="s">
        <v>1018</v>
      </c>
      <c r="D12" s="29"/>
      <c r="E12" s="115">
        <v>1575000.0</v>
      </c>
      <c r="F12" s="117"/>
      <c r="G12" s="117"/>
    </row>
    <row r="13">
      <c r="A13" s="52" t="s">
        <v>1068</v>
      </c>
      <c r="B13" s="23" t="s">
        <v>1022</v>
      </c>
      <c r="C13" s="23" t="s">
        <v>1015</v>
      </c>
      <c r="D13" s="32"/>
      <c r="E13" s="118">
        <v>1925000.0</v>
      </c>
      <c r="F13" s="117"/>
      <c r="G13" s="117"/>
    </row>
    <row r="14">
      <c r="A14" s="58" t="s">
        <v>1069</v>
      </c>
      <c r="B14" s="16" t="s">
        <v>1025</v>
      </c>
      <c r="C14" s="29"/>
      <c r="D14" s="16" t="s">
        <v>1007</v>
      </c>
      <c r="E14" s="115">
        <v>2520000.0</v>
      </c>
      <c r="F14" s="117"/>
      <c r="G14" s="117"/>
    </row>
    <row r="15">
      <c r="A15" s="52" t="s">
        <v>1070</v>
      </c>
      <c r="B15" s="23" t="s">
        <v>1025</v>
      </c>
      <c r="C15" s="32"/>
      <c r="D15" s="23" t="s">
        <v>1009</v>
      </c>
      <c r="E15" s="118">
        <v>1680000.0</v>
      </c>
      <c r="F15" s="117"/>
      <c r="G15" s="117"/>
    </row>
    <row r="16">
      <c r="A16" s="58" t="s">
        <v>1071</v>
      </c>
      <c r="B16" s="16" t="s">
        <v>1025</v>
      </c>
      <c r="C16" s="16" t="s">
        <v>1018</v>
      </c>
      <c r="D16" s="29"/>
      <c r="E16" s="115">
        <v>1890000.0</v>
      </c>
      <c r="F16" s="117"/>
      <c r="G16" s="117"/>
    </row>
    <row r="17">
      <c r="A17" s="52" t="s">
        <v>1072</v>
      </c>
      <c r="B17" s="23" t="s">
        <v>1025</v>
      </c>
      <c r="C17" s="23" t="s">
        <v>1015</v>
      </c>
      <c r="D17" s="32"/>
      <c r="E17" s="118">
        <v>2310000.0</v>
      </c>
      <c r="F17" s="117"/>
      <c r="G17" s="117"/>
    </row>
    <row r="18">
      <c r="A18" s="58" t="s">
        <v>1073</v>
      </c>
      <c r="B18" s="16" t="s">
        <v>1027</v>
      </c>
      <c r="C18" s="29"/>
      <c r="D18" s="16" t="s">
        <v>1007</v>
      </c>
      <c r="E18" s="115">
        <v>3000000.0</v>
      </c>
      <c r="F18" s="117"/>
      <c r="G18" s="117"/>
    </row>
    <row r="19">
      <c r="A19" s="52" t="s">
        <v>1075</v>
      </c>
      <c r="B19" s="23" t="s">
        <v>1027</v>
      </c>
      <c r="C19" s="32"/>
      <c r="D19" s="23" t="s">
        <v>1009</v>
      </c>
      <c r="E19" s="118">
        <v>2000000.0</v>
      </c>
      <c r="F19" s="117"/>
      <c r="G19" s="117"/>
    </row>
    <row r="20">
      <c r="A20" s="58" t="s">
        <v>1076</v>
      </c>
      <c r="B20" s="16" t="s">
        <v>1027</v>
      </c>
      <c r="C20" s="16" t="s">
        <v>1018</v>
      </c>
      <c r="D20" s="29"/>
      <c r="E20" s="115">
        <v>2250000.0</v>
      </c>
      <c r="F20" s="117"/>
      <c r="G20" s="117"/>
    </row>
    <row r="21">
      <c r="A21" s="52" t="s">
        <v>1077</v>
      </c>
      <c r="B21" s="23" t="s">
        <v>1027</v>
      </c>
      <c r="C21" s="23" t="s">
        <v>1015</v>
      </c>
      <c r="D21" s="32"/>
      <c r="E21" s="118">
        <v>2750000.0</v>
      </c>
      <c r="F21" s="117"/>
      <c r="G21" s="117"/>
    </row>
    <row r="22">
      <c r="A22" s="58" t="s">
        <v>1078</v>
      </c>
      <c r="B22" s="16" t="s">
        <v>1029</v>
      </c>
      <c r="C22" s="29"/>
      <c r="D22" s="16" t="s">
        <v>1007</v>
      </c>
      <c r="E22" s="115">
        <v>7200000.0</v>
      </c>
      <c r="F22" s="117"/>
      <c r="G22" s="117"/>
    </row>
    <row r="23">
      <c r="A23" s="52" t="s">
        <v>1079</v>
      </c>
      <c r="B23" s="23" t="s">
        <v>1029</v>
      </c>
      <c r="C23" s="32"/>
      <c r="D23" s="23" t="s">
        <v>1009</v>
      </c>
      <c r="E23" s="118">
        <v>4800000.0</v>
      </c>
      <c r="F23" s="117"/>
      <c r="G23" s="117"/>
    </row>
    <row r="24">
      <c r="A24" s="58" t="s">
        <v>1080</v>
      </c>
      <c r="B24" s="16" t="s">
        <v>1029</v>
      </c>
      <c r="C24" s="16" t="s">
        <v>1018</v>
      </c>
      <c r="D24" s="29"/>
      <c r="E24" s="115">
        <v>5400000.0</v>
      </c>
      <c r="F24" s="117"/>
      <c r="G24" s="117"/>
    </row>
    <row r="25">
      <c r="A25" s="52" t="s">
        <v>1081</v>
      </c>
      <c r="B25" s="23" t="s">
        <v>1029</v>
      </c>
      <c r="C25" s="23" t="s">
        <v>1015</v>
      </c>
      <c r="D25" s="32"/>
      <c r="E25" s="118">
        <v>6600000.0</v>
      </c>
      <c r="F25" s="117"/>
      <c r="G25" s="117"/>
    </row>
    <row r="26">
      <c r="A26" s="58" t="s">
        <v>1082</v>
      </c>
      <c r="B26" s="16" t="s">
        <v>1031</v>
      </c>
      <c r="C26" s="29"/>
      <c r="D26" s="16" t="s">
        <v>1007</v>
      </c>
      <c r="E26" s="115">
        <v>9000000.0</v>
      </c>
      <c r="F26" s="117"/>
      <c r="G26" s="117"/>
    </row>
    <row r="27">
      <c r="A27" s="52" t="s">
        <v>1083</v>
      </c>
      <c r="B27" s="23" t="s">
        <v>1031</v>
      </c>
      <c r="C27" s="32"/>
      <c r="D27" s="23" t="s">
        <v>1009</v>
      </c>
      <c r="E27" s="118">
        <v>6000000.0</v>
      </c>
      <c r="F27" s="117"/>
      <c r="G27" s="117"/>
    </row>
    <row r="28">
      <c r="A28" s="58" t="s">
        <v>1084</v>
      </c>
      <c r="B28" s="16" t="s">
        <v>1031</v>
      </c>
      <c r="C28" s="16" t="s">
        <v>1018</v>
      </c>
      <c r="D28" s="29"/>
      <c r="E28" s="115">
        <v>6750000.0</v>
      </c>
      <c r="F28" s="117"/>
      <c r="G28" s="117"/>
    </row>
    <row r="29">
      <c r="A29" s="52" t="s">
        <v>1085</v>
      </c>
      <c r="B29" s="23" t="s">
        <v>1031</v>
      </c>
      <c r="C29" s="23" t="s">
        <v>1015</v>
      </c>
      <c r="D29" s="32"/>
      <c r="E29" s="118">
        <v>8250000.0</v>
      </c>
      <c r="F29" s="117"/>
      <c r="G29" s="117"/>
    </row>
    <row r="30">
      <c r="A30" s="58" t="s">
        <v>1086</v>
      </c>
      <c r="B30" s="16" t="s">
        <v>1033</v>
      </c>
      <c r="C30" s="29"/>
      <c r="D30" s="16" t="s">
        <v>1007</v>
      </c>
      <c r="E30" s="115">
        <v>1.08E7</v>
      </c>
      <c r="F30" s="117"/>
      <c r="G30" s="117"/>
    </row>
    <row r="31">
      <c r="A31" s="52" t="s">
        <v>1088</v>
      </c>
      <c r="B31" s="23" t="s">
        <v>1033</v>
      </c>
      <c r="C31" s="32"/>
      <c r="D31" s="23" t="s">
        <v>1009</v>
      </c>
      <c r="E31" s="118">
        <v>7200000.0</v>
      </c>
      <c r="F31" s="117"/>
      <c r="G31" s="117"/>
    </row>
    <row r="32">
      <c r="A32" s="58" t="s">
        <v>1089</v>
      </c>
      <c r="B32" s="16" t="s">
        <v>1033</v>
      </c>
      <c r="C32" s="16" t="s">
        <v>1018</v>
      </c>
      <c r="D32" s="29"/>
      <c r="E32" s="115">
        <v>8100000.0</v>
      </c>
      <c r="F32" s="117"/>
      <c r="G32" s="117"/>
    </row>
    <row r="33">
      <c r="A33" s="52" t="s">
        <v>1090</v>
      </c>
      <c r="B33" s="23" t="s">
        <v>1033</v>
      </c>
      <c r="C33" s="23" t="s">
        <v>1015</v>
      </c>
      <c r="D33" s="32"/>
      <c r="E33" s="118">
        <v>9900000.0</v>
      </c>
      <c r="F33" s="117"/>
      <c r="G33" s="117"/>
    </row>
    <row r="34">
      <c r="A34" s="58" t="s">
        <v>1091</v>
      </c>
      <c r="B34" s="16" t="s">
        <v>1035</v>
      </c>
      <c r="C34" s="29"/>
      <c r="D34" s="16" t="s">
        <v>1007</v>
      </c>
      <c r="E34" s="115">
        <v>1.2E7</v>
      </c>
      <c r="F34" s="117"/>
      <c r="G34" s="117"/>
    </row>
    <row r="35">
      <c r="A35" s="52" t="s">
        <v>1092</v>
      </c>
      <c r="B35" s="23" t="s">
        <v>1035</v>
      </c>
      <c r="C35" s="32"/>
      <c r="D35" s="23" t="s">
        <v>1009</v>
      </c>
      <c r="E35" s="118">
        <v>8000000.0</v>
      </c>
      <c r="F35" s="117"/>
      <c r="G35" s="117"/>
    </row>
    <row r="36">
      <c r="A36" s="58" t="s">
        <v>1093</v>
      </c>
      <c r="B36" s="16" t="s">
        <v>1035</v>
      </c>
      <c r="C36" s="16" t="s">
        <v>1018</v>
      </c>
      <c r="D36" s="29"/>
      <c r="E36" s="115">
        <v>9000000.0</v>
      </c>
      <c r="F36" s="117"/>
      <c r="G36" s="117"/>
    </row>
    <row r="37">
      <c r="A37" s="52" t="s">
        <v>1094</v>
      </c>
      <c r="B37" s="23" t="s">
        <v>1035</v>
      </c>
      <c r="C37" s="23" t="s">
        <v>1015</v>
      </c>
      <c r="D37" s="32"/>
      <c r="E37" s="118">
        <v>1.1E7</v>
      </c>
      <c r="F37" s="117"/>
      <c r="G37" s="117"/>
    </row>
    <row r="38">
      <c r="A38" s="58" t="s">
        <v>1095</v>
      </c>
      <c r="B38" s="16" t="s">
        <v>1037</v>
      </c>
      <c r="C38" s="29"/>
      <c r="D38" s="16" t="s">
        <v>1007</v>
      </c>
      <c r="E38" s="115">
        <v>1.32E7</v>
      </c>
      <c r="F38" s="117"/>
      <c r="G38" s="117"/>
    </row>
    <row r="39">
      <c r="A39" s="52" t="s">
        <v>1096</v>
      </c>
      <c r="B39" s="23" t="s">
        <v>1037</v>
      </c>
      <c r="C39" s="32"/>
      <c r="D39" s="23" t="s">
        <v>1009</v>
      </c>
      <c r="E39" s="118">
        <v>8800000.0</v>
      </c>
      <c r="F39" s="117"/>
      <c r="G39" s="117"/>
    </row>
    <row r="40">
      <c r="A40" s="58" t="s">
        <v>1097</v>
      </c>
      <c r="B40" s="16" t="s">
        <v>1037</v>
      </c>
      <c r="C40" s="16" t="s">
        <v>1018</v>
      </c>
      <c r="D40" s="29"/>
      <c r="E40" s="115">
        <v>9900000.0</v>
      </c>
      <c r="F40" s="117"/>
      <c r="G40" s="117"/>
    </row>
    <row r="41">
      <c r="A41" s="52" t="s">
        <v>1098</v>
      </c>
      <c r="B41" s="23" t="s">
        <v>1037</v>
      </c>
      <c r="C41" s="23" t="s">
        <v>1015</v>
      </c>
      <c r="D41" s="32"/>
      <c r="E41" s="118">
        <v>1.21E7</v>
      </c>
      <c r="F41" s="117"/>
      <c r="G41" s="117"/>
    </row>
    <row r="42">
      <c r="A42" s="58" t="s">
        <v>1099</v>
      </c>
      <c r="B42" s="16" t="s">
        <v>1039</v>
      </c>
      <c r="C42" s="29"/>
      <c r="D42" s="16" t="s">
        <v>1007</v>
      </c>
      <c r="E42" s="115">
        <v>2.14476209E7</v>
      </c>
    </row>
    <row r="43">
      <c r="A43" s="52" t="s">
        <v>1100</v>
      </c>
      <c r="B43" s="23" t="s">
        <v>1039</v>
      </c>
      <c r="C43" s="32"/>
      <c r="D43" s="23" t="s">
        <v>1009</v>
      </c>
      <c r="E43" s="118">
        <v>1.304420922E7</v>
      </c>
    </row>
    <row r="44">
      <c r="A44" s="58" t="s">
        <v>1102</v>
      </c>
      <c r="B44" s="16" t="s">
        <v>1039</v>
      </c>
      <c r="C44" s="16" t="s">
        <v>1018</v>
      </c>
      <c r="D44" s="29"/>
      <c r="E44" s="115">
        <v>2.120805402E7</v>
      </c>
    </row>
    <row r="45">
      <c r="A45" s="119" t="s">
        <v>1103</v>
      </c>
      <c r="B45" s="120" t="s">
        <v>1039</v>
      </c>
      <c r="C45" s="120" t="s">
        <v>1015</v>
      </c>
      <c r="D45" s="121"/>
      <c r="E45" s="122">
        <v>1.32837761E7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3.25"/>
    <col customWidth="1" min="4" max="4" width="23.25"/>
    <col customWidth="1" min="5" max="5" width="89.38"/>
  </cols>
  <sheetData>
    <row r="1">
      <c r="A1" s="114" t="s">
        <v>0</v>
      </c>
      <c r="B1" s="114" t="s">
        <v>2</v>
      </c>
      <c r="C1" s="114" t="s">
        <v>1050</v>
      </c>
      <c r="D1" s="3" t="s">
        <v>1051</v>
      </c>
      <c r="E1" s="3" t="s">
        <v>271</v>
      </c>
    </row>
    <row r="2">
      <c r="A2" s="116" t="s">
        <v>1052</v>
      </c>
      <c r="B2" s="116" t="s">
        <v>1053</v>
      </c>
      <c r="C2" s="114" t="s">
        <v>271</v>
      </c>
      <c r="D2" s="114" t="s">
        <v>1054</v>
      </c>
      <c r="E2" s="116" t="s">
        <v>1056</v>
      </c>
    </row>
  </sheetData>
  <drawing r:id="rId1"/>
</worksheet>
</file>